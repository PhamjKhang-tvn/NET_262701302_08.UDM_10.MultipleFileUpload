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UTH-048206008106\Nam3HK1\Block1\NetworkProgramming\"/>
    </mc:Choice>
  </mc:AlternateContent>
  <xr:revisionPtr revIDLastSave="0" documentId="13_ncr:1_{70EECFA3-BC66-4AE9-9EBC-30BBE78C51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hành Viên" sheetId="2" r:id="rId1"/>
    <sheet name="Cong_viec" sheetId="3" r:id="rId2"/>
  </sheets>
  <definedNames>
    <definedName name="_xlnm._FilterDatabase" localSheetId="1" hidden="1">Cong_viec!$A$6:$N$54</definedName>
    <definedName name="_xlnm._FilterDatabase" localSheetId="0" hidden="1">'Thành Viên'!$A$6:$E$12</definedName>
    <definedName name="_xlnm.Print_Area" localSheetId="1">Cong_viec!$A$1:$N$54</definedName>
    <definedName name="_xlnm.Print_Area" localSheetId="0">'Thành Viên'!$A$1:$E$12</definedName>
    <definedName name="_xlnm.Print_Titles" localSheetId="1">Cong_viec!$1:$6</definedName>
    <definedName name="_xlnm.Print_Titles" localSheetId="0">'Thành Viên'!$1:$6</definedName>
  </definedNames>
  <calcPr calcId="191029" forceFullCalc="1"/>
</workbook>
</file>

<file path=xl/calcChain.xml><?xml version="1.0" encoding="utf-8"?>
<calcChain xmlns="http://schemas.openxmlformats.org/spreadsheetml/2006/main">
  <c r="E54" i="3" l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Hướng dẫn</author>
  </authors>
  <commentList>
    <comment ref="K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Nhóm trưởng tự điền hạn hoàn thành cho nhiệm vụ; file không áp ngày cụ thể.</t>
        </r>
      </text>
    </comment>
  </commentList>
</comments>
</file>

<file path=xl/sharedStrings.xml><?xml version="1.0" encoding="utf-8"?>
<sst xmlns="http://schemas.openxmlformats.org/spreadsheetml/2006/main" count="483" uniqueCount="283">
  <si>
    <t>TV1</t>
  </si>
  <si>
    <t>TV4</t>
  </si>
  <si>
    <t>THÀNH VIÊN &amp; TRÁCH NHIỆM</t>
  </si>
  <si>
    <t>Mã TV</t>
  </si>
  <si>
    <t>Vai trò chính</t>
  </si>
  <si>
    <t>Phần kỹ thuật / trách nhiệm</t>
  </si>
  <si>
    <t>Kiểm tra chéo</t>
  </si>
  <si>
    <t>Điều phối + phần dùng chung</t>
  </si>
  <si>
    <t>Yêu cầu, cấu hình, kiểu dữ liệu/giao thức dùng chung; tích hợp cùng người phụ trách. Không sửa thay toàn bộ nhóm.</t>
  </si>
  <si>
    <t>TV6</t>
  </si>
  <si>
    <t>TV2</t>
  </si>
  <si>
    <t>Giao diện Client</t>
  </si>
  <si>
    <t>WinForms Client; kéo thả, danh sách file; hiển thị trạng thái/tiến độ; tài liệu thao tác.</t>
  </si>
  <si>
    <t>TV5</t>
  </si>
  <si>
    <t>TV3</t>
  </si>
  <si>
    <t>Gửi file phía Client</t>
  </si>
  <si>
    <t>Kết nối; đọc và gửi từng khối; chờ phản hồi; timeout và lỗi gửi.</t>
  </si>
  <si>
    <t>Nhận file phía Server</t>
  </si>
  <si>
    <t>Lắng nghe; kiểm tra dữ liệu; nhận/lưu file tạm; tên trùng; tách lỗi từng kết nối.</t>
  </si>
  <si>
    <t>Hàng đợi + trạng thái</t>
  </si>
  <si>
    <t>Điều phối một file/lượt/Client; chuyển trạng thái; tính tiến độ và tốc độ; cô lập lỗi file.</t>
  </si>
  <si>
    <t>GUI/log Server + kiểm thử</t>
  </si>
  <si>
    <t>GUI Server; log; công cụ đối chiếu file; tổng hợp test và đo hiệu năng. Mọi thành viên vẫn tự test phần mình.</t>
  </si>
  <si>
    <t>Mã việc</t>
  </si>
  <si>
    <t>Tuần</t>
  </si>
  <si>
    <t>Chặng</t>
  </si>
  <si>
    <t>Họ tên</t>
  </si>
  <si>
    <t>Việc thực hiện</t>
  </si>
  <si>
    <t>Sản phẩm bàn giao</t>
  </si>
  <si>
    <t>Điều kiện hoàn thành</t>
  </si>
  <si>
    <t>Phụ thuộc / phối hợp</t>
  </si>
  <si>
    <t>Người kiểm tra</t>
  </si>
  <si>
    <t>Hạn do TV1 đặt</t>
  </si>
  <si>
    <t>Trạng thái</t>
  </si>
  <si>
    <t>Link commit / tài liệu / test</t>
  </si>
  <si>
    <t>Vướng mắc / ghi chú</t>
  </si>
  <si>
    <t>1A-TV1</t>
  </si>
  <si>
    <t>1A</t>
  </si>
  <si>
    <t>Đọc 4 sheet của đề; tách bắt buộc/không bắt buộc; chốt phạm vi 4 tuần và tạo repository tối thiểu để cả nhóm lưu nghiên cứu.</t>
  </si>
  <si>
    <t>Checklist yêu cầu có địa chỉ ô nguồn; phạm vi; repository có .gitignore.</t>
  </si>
  <si>
    <t>Giải thích được vì sao chọn queue; không bỏ yêu cầu chung/nộp bài; 5 thành viên còn lại được cấp quyền đóng góp.</t>
  </si>
  <si>
    <t>Không</t>
  </si>
  <si>
    <t>Chưa bắt đầu</t>
  </si>
  <si>
    <t>1A-TV2</t>
  </si>
  <si>
    <t>Tìm tài liệu WinForms, chọn file và kéo thả; phác thảo GUI Client theo đúng dữ liệu mỗi file cần hiển thị.</t>
  </si>
  <si>
    <t>Một trang ghi chú + nguồn chính thức + bản phác GUI.</t>
  </si>
  <si>
    <t>Bản phác có IP/port, chọn/kéo thả nhiều file, trạng thái, tiến độ, tốc độ và lỗi; trình bày lại bằng lời của mình.</t>
  </si>
  <si>
    <t>1A-TV3</t>
  </si>
  <si>
    <t>Tìm hiểu TCP, IP/port, TcpClient và NetworkStream; phác luồng gửi thông tin file, dữ liệu, nhận xác nhận.</t>
  </si>
  <si>
    <t>Một trang ghi chú + sơ đồ gửi/nhận + nguồn chính thức.</t>
  </si>
  <si>
    <t>Giải thích được TCP là luồng byte, một lần đọc không nhất thiết đủ; phân biệt gửi xong với Server xác nhận.</t>
  </si>
  <si>
    <t>1A-TV4</t>
  </si>
  <si>
    <t>Tìm hiểu TcpListener, FileStream, nhận đủ byte, lưu tạm và xử lý tên trùng/tên không hợp lệ.</t>
  </si>
  <si>
    <t>Một trang ghi chú + sơ đồ Server + nguồn chính thức.</t>
  </si>
  <si>
    <t>Mô tả được việc nhận thiếu dữ liệu, từ chối file trùng tên và không ghi ra ngoài thư mục nhận.</t>
  </si>
  <si>
    <t>1A-TV5</t>
  </si>
  <si>
    <t>Tìm hiểu queue, async/await, trạng thái, công thức tiến độ/tốc độ và sự khác nhau giữa lỗi file với Server mất kết nối.</t>
  </si>
  <si>
    <t>Một trang ghi chú + sơ đồ trạng thái + ví dụ 3 file.</t>
  </si>
  <si>
    <t>Giải thích được file tốt → file bị từ chối → file tốt; nếu Server tắt thì không hứa các file còn lại vẫn truyền được.</t>
  </si>
  <si>
    <t>1A-TV6</t>
  </si>
  <si>
    <t>Tìm hiểu Git/commit/review; test chức năng, mất kết nối, so sánh file và đo tải; phác GUI/log Server.</t>
  </si>
  <si>
    <t>Một trang ghi chú + kế hoạch test sơ bộ + phác GUI Server.</t>
  </si>
  <si>
    <t>Có test thành công, dữ liệu sai, mất kết nối, hai mức tải; cả nhóm hiểu cách ghi bằng chứng và commit cá nhân.</t>
  </si>
  <si>
    <t>1B-TV1</t>
  </si>
  <si>
    <t>1B</t>
  </si>
  <si>
    <t>Tạo Solution với Client/Server/Shared; chốt một phiên bản SDK chung; cùng TV3–TV4 viết quy ước giao thức v1 và cấu hình.</t>
  </si>
  <si>
    <t>Solution build được; cấu trúc Code/DOCX/Extra/PPTX; README; protocol-v1.</t>
  </si>
  <si>
    <t>Có loại message, độ dài/encoding, tên/kích thước file, READY/SUCCESS/ERROR/BUSY, timeout, cách đóng kết nối; cả nhóm dùng một bản.</t>
  </si>
  <si>
    <t>1A-TV1,1A-TV3,1A-TV4</t>
  </si>
  <si>
    <t>1B-TV2</t>
  </si>
  <si>
    <t>Dựng form Client: IP/port, chọn/kéo thả file, bảng file. Tạm dùng dữ liệu giả chỉ để kiểm tra bố cục.</t>
  </si>
  <si>
    <t>Form Client chạy được + ảnh giao diện.</t>
  </si>
  <si>
    <t>Kéo thả 3 file thật thấy đúng tên/kích thước; chặn thư mục nếu chưa hỗ trợ; không gọi dữ liệu giả là upload thành công.</t>
  </si>
  <si>
    <t>1A-TV2; thống nhất khung Solution với TV1</t>
  </si>
  <si>
    <t>1B-TV3</t>
  </si>
  <si>
    <t>Viết Client gửi HELLO và nhận phản hồi qua TCP thật, IP/port lấy từ cấu hình.</t>
  </si>
  <si>
    <t>Demo TCP Client + ghi chú cách chạy.</t>
  </si>
  <si>
    <t>Kết nối process Server riêng, gửi/nhận được; Server chưa bật thì hiện lỗi thay vì crash.</t>
  </si>
  <si>
    <t>1B-TV1; phối hợp 1B-TV4</t>
  </si>
  <si>
    <t>1B-TV4</t>
  </si>
  <si>
    <t>Viết bộ lắng nghe Server, nhận HELLO và trả OK; tách xử lý kết nối khỏi vòng chờ Client mới.</t>
  </si>
  <si>
    <t>Demo TCP Server + điểm gọi Start/Stop cho GUI.</t>
  </si>
  <si>
    <t>Server nhận liên tiếp các kết nối; đóng một Client không làm Server dừng; có Start/Stop rõ ràng.</t>
  </si>
  <si>
    <t>1B-TV1; phối hợp 1B-TV3</t>
  </si>
  <si>
    <t>1B-TV5</t>
  </si>
  <si>
    <t>Viết UploadItem và enum trạng thái; thử queue ba phần tử; viết hàm tính phần trăm và tốc độ từ byte/thời gian.</t>
  </si>
  <si>
    <t>Các lớp trạng thái/queue + test logic nhỏ.</t>
  </si>
  <si>
    <t>Thứ tự Waiting → Uploading → Completed/Error hợp lý; có nhánh file 0 byte và thời gian đo bằng 0; mô phỏng chỉ dùng để test logic.</t>
  </si>
  <si>
    <t>1A-TV5; thống nhất kiểu dữ liệu với TV1</t>
  </si>
  <si>
    <t>1B-TV6</t>
  </si>
  <si>
    <t>Dựng GUI Server với port, thư mục nhận, Start/Stop và log; nối với listener TV4 khi sẵn sàng; viết hướng dẫn clone/build.</t>
  </si>
  <si>
    <t>Form Server + log mẫu + checklist môi trường 6 máy.</t>
  </si>
  <si>
    <t>Hiện Start/Stop/connect/disconnect; mỗi thành viên tự clone/build/chạy Hello và commit bằng tài khoản riêng.</t>
  </si>
  <si>
    <t>1A-TV6; phối hợp 1B-TV1,1B-TV4</t>
  </si>
  <si>
    <t>2A-TV1</t>
  </si>
  <si>
    <t>2A</t>
  </si>
  <si>
    <t>Triển khai bộ đọc/ghi message dùng chung theo protocol-v1 cùng TV3–TV4; kiểm tra giới hạn độ dài; ghép Client–Server sớm.</t>
  </si>
  <si>
    <t>Shared protocol codec + bản tích hợp một file.</t>
  </si>
  <si>
    <t>Hai đầu dùng cùng định dạng; đọc thiếu header không bị coi là header đầy đủ; không để TV3 và TV4 tự phát minh hai protocol khác nhau.</t>
  </si>
  <si>
    <t>1B-TV1,1B-TV3,1B-TV4</t>
  </si>
  <si>
    <t>2A-TV2</t>
  </si>
  <si>
    <t>Nối nút upload một file với dịch vụ TV3 và dữ liệu TV5; hiển thị tiến độ/trạng thái/lỗi trên GUI.</t>
  </si>
  <si>
    <t>GUI thực hiện upload thật một file.</t>
  </si>
  <si>
    <t>File được truyền qua TCP; form vẫn kéo được/nhận thao tác; không đổi thành Completed trước xác nhận Server.</t>
  </si>
  <si>
    <t>1B-TV2,1B-TV5; phối hợp 2A-TV3</t>
  </si>
  <si>
    <t>2A-TV3</t>
  </si>
  <si>
    <t>Viết SendFileAsync: gửi metadata, chờ READY, đọc/gửi từng khối và chờ SUCCESS hoặc ERROR.</t>
  </si>
  <si>
    <t>Dịch vụ gửi file có báo tiến độ và kết quả.</t>
  </si>
  <si>
    <t>Không đọc toàn bộ file vào RAM; trả lỗi rõ khi file không tồn tại hoặc phản hồi lỗi; chỉ báo Completed khi có SUCCESS.</t>
  </si>
  <si>
    <t>1B-TV3; phối hợp 2A-TV1,2A-TV4</t>
  </si>
  <si>
    <t>2A-TV4</t>
  </si>
  <si>
    <t>Nhận/kiểm tra metadata, gửi READY, đọc đúng kích thước và ghi file tạm; hoàn tất/đóng file rồi đổi tên và gửi SUCCESS.</t>
  </si>
  <si>
    <t>Dịch vụ nhận/lưu một file; quy tắc từ chối tên trùng.</t>
  </si>
  <si>
    <t>File chưa đủ byte không mang tên hoàn chỉnh; tên trùng không ghi đè; nhận thiếu hoặc ghi lỗi không gửi SUCCESS.</t>
  </si>
  <si>
    <t>1B-TV4; phối hợp 2A-TV1,2A-TV3</t>
  </si>
  <si>
    <t>2A-TV5</t>
  </si>
  <si>
    <t>Nối số byte đã gửi với progress/tốc độ; thêm trạng thái chờ xác nhận trong xử lý nội bộ, vẫn giữ trạng thái hiển thị phù hợp.</t>
  </si>
  <si>
    <t>Bộ cập nhật progress và kết quả từng file.</t>
  </si>
  <si>
    <t>Đến 100% byte gửi không tự coi Completed; tốc độ có đơn vị/chu kỳ cập nhật; không chia cho 0.</t>
  </si>
  <si>
    <t>1B-TV5; phối hợp 2A-TV3</t>
  </si>
  <si>
    <t>2A-TV6</t>
  </si>
  <si>
    <t>Viết tiện ích C# đối chiếu kích thước/SHA-256 nguồn–đích; kiểm thử file text, ảnh, 0 byte, tên tiếng Việt và file lớn.</t>
  </si>
  <si>
    <t>Tiện ích kiểm tra + bộ file test + kết quả thực tế.</t>
  </si>
  <si>
    <t>File nhận đúng nội dung; có bằng chứng cho lỗi phát hiện; log Server có thời gian, tên file và kết quả.</t>
  </si>
  <si>
    <t>1B-TV6; bản tích hợp 2A-TV1–TV5</t>
  </si>
  <si>
    <t>2B-TV1</t>
  </si>
  <si>
    <t>2B</t>
  </si>
  <si>
    <t>Tích hợp queue, GUI và dịch vụ; công bố giới hạn 1 file/Client, Server tối đa 3 phiên truyền; chốt quy tắc tên trùng và cấu hình.</t>
  </si>
  <si>
    <t>Bản upload nhiều file + README/protocol cập nhật.</t>
  </si>
  <si>
    <t>Sáu phần chạy trên cùng nhánh tích hợp; giới hạn Server tách biệt với giới hạn mỗi Client; tham số được ghi rõ.</t>
  </si>
  <si>
    <t>2A-TV1–TV6</t>
  </si>
  <si>
    <t>2B-TV2</t>
  </si>
  <si>
    <t>Hoàn thiện bảng nhiều file; mỗi dòng có tên, kích thước, trạng thái, progress, tốc độ và lỗi; khóa thao tác không hợp lệ.</t>
  </si>
  <si>
    <t>GUI Client dùng được với danh sách nhiều file.</t>
  </si>
  <si>
    <t>Kéo thả nhiều file không mất dòng; progress không chạy sang file khác; nút Upload không khởi tạo hai lượt trùng nhau.</t>
  </si>
  <si>
    <t>2A-TV2; phối hợp 2B-TV5</t>
  </si>
  <si>
    <t>2B-TV3</t>
  </si>
  <si>
    <t>Cho dịch vụ gửi được gọi nhiều lần, mỗi file một kết nối mới; đóng stream/socket sau mỗi lượt và phân loại lỗi.</t>
  </si>
  <si>
    <t>API gửi từng file phục vụ queue.</t>
  </si>
  <si>
    <t>Gửi ba file liên tiếp được; tách lỗi file bị từ chối khỏi lỗi kết nối; không tự gửi lại khi thiếu xác nhận mà chưa rõ kết quả.</t>
  </si>
  <si>
    <t>2B-TV4</t>
  </si>
  <si>
    <t>Cô lập lỗi từng phiên; hỗ trợ nhiều Client trong giới hạn; trả BUSY rõ khi hết chỗ; tránh ghi đè khi hai Client gửi cùng tên.</t>
  </si>
  <si>
    <t>Server nhiều phiên có giới hạn và xử lý trùng tên an toàn.</t>
  </si>
  <si>
    <t>Hai Client truyền được; một Client lỗi không làm phiên khác dừng; file đích cũ được giữ nguyên.</t>
  </si>
  <si>
    <t>2A-TV4; phối hợp 2B-TV1</t>
  </si>
  <si>
    <t>2B-TV5</t>
  </si>
  <si>
    <t>Hoàn thiện queue tuần tự: gọi gửi từng file; lỗi riêng một file thì ghi Error và chuyển file tiếp; mất Server thì giữ file chờ.</t>
  </si>
  <si>
    <t>Queue hoàn chỉnh + chuyển trạng thái.</t>
  </si>
  <si>
    <t>Kịch bản tốt → trùng tên → tốt chạy đến cuối; Server tắt thì file đang tải báo lỗi, file chưa gửi vẫn Waiting để chạy tiếp khi Server trở lại.</t>
  </si>
  <si>
    <t>2A-TV5,2B-TV3; phối hợp TV2</t>
  </si>
  <si>
    <t>2B-TV6</t>
  </si>
  <si>
    <t>Nối đầy đủ log vào GUI Server và file log; test 10 file, hai Client và đối chiếu nguồn–đích.</t>
  </si>
  <si>
    <t>Log Server hoàn chỉnh + biên bản nghiệm thu tuần 2.</t>
  </si>
  <si>
    <t>Ghi start/connect/disconnect/upload/success/error có timestamp; không cần ghi từng byte; tất cả file thành công đối chiếu đúng.</t>
  </si>
  <si>
    <t>2A-TV6; bản tích hợp 2B</t>
  </si>
  <si>
    <t>3A-TV1</t>
  </si>
  <si>
    <t>3A</t>
  </si>
  <si>
    <t>Rà cấu hình IP/port/timeout/giới hạn file và phiên; chốt mã lỗi, theo dõi phụ thuộc và ghép sửa lỗi vào bản chung.</t>
  </si>
  <si>
    <t>Cấu hình được kiểm tra + danh mục lỗi + bản tích hợp.</t>
  </si>
  <si>
    <t>Không phụ thuộc đường dẫn một máy; giới hạn và timeout hiển thị/ghi rõ; thay đổi protocol được cập nhật cả hai đầu.</t>
  </si>
  <si>
    <t>2B-TV1–TV6</t>
  </si>
  <si>
    <t>3A-TV2</t>
  </si>
  <si>
    <t>Kiểm tra dữ liệu nhập và thông báo lỗi; cập nhật control đúng luồng; xử lý đóng form trong lúc upload.</t>
  </si>
  <si>
    <t>GUI không treo; lỗi có thể hiểu và thao tác lại.</t>
  </si>
  <si>
    <t>IP/port sai, file mất, Server chưa bật đều không làm ứng dụng crash; không truy cập control từ luồng không phù hợp.</t>
  </si>
  <si>
    <t>2B-TV2; phối hợp TV3,TV5</t>
  </si>
  <si>
    <t>3A-TV3</t>
  </si>
  <si>
    <t>Áp dụng timeout thực cho kết nối và thao tác async; hủy khi đóng ứng dụng; xử lý lỗi ghi/đọc và trường hợp mất phản hồi cuối.</t>
  </si>
  <si>
    <t>Client timeout/cancel/cleanup đã kiểm tra.</t>
  </si>
  <si>
    <t>Server im lặng không gây chờ vô hạn; không báo thành công khi thiếu xác nhận; không tự tạo upload trùng vì retry mù.</t>
  </si>
  <si>
    <t>2B-TV3,3A-TV1</t>
  </si>
  <si>
    <t>3A-TV4</t>
  </si>
  <si>
    <t>Kiểm tra tên file/đường dẫn/size/message; xử lý ghi đĩa lỗi, thiếu byte, Client rời mạng; dọn file tạm theo chính sách công bố.</t>
  </si>
  <si>
    <t>Server validation + cleanup + lỗi rõ ràng.</t>
  </si>
  <si>
    <t>Không ghi ngoài thư mục nhận; không overwrite; file thiếu không được công nhận; một phiên lỗi không làm Server/phiên khác dừng.</t>
  </si>
  <si>
    <t>2B-TV4,3A-TV1</t>
  </si>
  <si>
    <t>3A-TV5</t>
  </si>
  <si>
    <t>Hoàn thiện chuyển trạng thái khi lỗi file/mất Server; ngăn chạy trùng queue; reset tốc độ; hỗ trợ tiếp tục các file chưa gửi.</t>
  </si>
  <si>
    <t>Queue có nhánh lỗi và test trạng thái.</t>
  </si>
  <si>
    <t>File lỗi riêng không chặn các file khác khi Server còn hoạt động; chạy lại hàng đợi không phải Resume từ byte cũ; không tự gửi lại file đã Completed.</t>
  </si>
  <si>
    <t>2B-TV5,3A-TV3; phối hợp TV2</t>
  </si>
  <si>
    <t>3A-TV6</t>
  </si>
  <si>
    <t>Bổ sung công cụ tạo tình huống Client ngắt giữa chừng, metadata sai hoặc peer im lặng; ghi lỗi có bước tái hiện.</t>
  </si>
  <si>
    <t>Bộ kịch bản lỗi + log + danh sách lỗi cho từng chủ module.</t>
  </si>
  <si>
    <t>Phân biệt lỗi do thử nghiệm có chủ đích với lỗi chương trình; dữ liệu test giả lập, không dùng file bí mật; nhận thấy tài nguyên được giải phóng.</t>
  </si>
  <si>
    <t>2B-TV6; phối hợp TV3,TV4</t>
  </si>
  <si>
    <t>3B-TV1</t>
  </si>
  <si>
    <t>3B</t>
  </si>
  <si>
    <t>Rà checklist yêu cầu với bản chạy; test cấu hình và clone/build sạch; điều phối chạy tải cùng TV6, chốt lỗi bắt buộc sửa.</t>
  </si>
  <si>
    <t>Ma trận yêu cầu → bằng chứng; biên bản cuối tuần 3.</t>
  </si>
  <si>
    <t>Mỗi yêu cầu có người chịu trách nhiệm và test; không đánh dấu đạt khi chưa chạy; TV3/TV4/TV6 không tự ký nghiệm thu phần mình.</t>
  </si>
  <si>
    <t>3A-TV1–TV6</t>
  </si>
  <si>
    <t>3B-TV2</t>
  </si>
  <si>
    <t>Test GUI/chọn-kéo thả/input sai/đóng form; chạy Client trong buổi đo tải và lưu ảnh thực tế.</t>
  </si>
  <si>
    <t>Kết quả test GUI + ảnh + lỗi có bước tái hiện.</t>
  </si>
  <si>
    <t>Hiển thị đúng từng file; form không treo ở kịch bản công bố; có ít nhất test file 0 byte và tên tiếng Việt.</t>
  </si>
  <si>
    <t>3A-TV2; bản tích hợp 3A</t>
  </si>
  <si>
    <t>3B-TV3</t>
  </si>
  <si>
    <t>Test Server tắt, mất kết nối giữa file, timeout và thiếu phản hồi cuối; hỗ trợ khởi chạy các Client đo tải.</t>
  </si>
  <si>
    <t>Kết quả test mạng phía Client + log.</t>
  </si>
  <si>
    <t>Không báo Completed sai; lỗi có thể hiểu; không có retry vô hạn; socket/stream đóng sau lỗi.</t>
  </si>
  <si>
    <t>3A-TV3; phối hợp TV4,TV6</t>
  </si>
  <si>
    <t>3B-TV4</t>
  </si>
  <si>
    <t>Test input độc hại ở mức dữ liệu giả lập, trùng tên từ hai Client, lỗi lưu và Client rời; theo dõi Server khi đo tải.</t>
  </si>
  <si>
    <t>Kết quả test Server + bằng chứng cô lập lỗi.</t>
  </si>
  <si>
    <t>File cũ không thay đổi; đường dẫn bị chặn; tắt Client A khi B đang tải không làm B dừng; Server không crash.</t>
  </si>
  <si>
    <t>3A-TV4; phối hợp TV3,TV6</t>
  </si>
  <si>
    <t>3B-TV5</t>
  </si>
  <si>
    <t>Test queue tốt–lỗi–tốt, nhiều file, Server mất rồi trở lại; kiểm tra giới hạn một file/Client và progress/tốc độ.</t>
  </si>
  <si>
    <t>Kết quả test queue/trạng thái + các phép tính kiểm tra.</t>
  </si>
  <si>
    <t>Không mất các file Waiting; không upload lại file Completed; đã kiểm tra tốc độ/progress với trường hợp 0 byte và cuối file.</t>
  </si>
  <si>
    <t>3A-TV5; phối hợp TV2</t>
  </si>
  <si>
    <t>3B-TV6</t>
  </si>
  <si>
    <t>Điều phối test hiệu năng ở 2 mức tải; thêm tải vượt giới hạn Server; tổng hợp thời gian, throughput, tỷ lệ lỗi, CPU/RAM và bằng chứng.</t>
  </si>
  <si>
    <t>Bảng đo thật + cấu hình máy + dataset + log/ảnh + nhận xét.</t>
  </si>
  <si>
    <t>Mức A: 1 Client/10 file × 10 MiB; mức B: 3 Client, mỗi Client 20 file × 10 MiB. Stress: 6 Client so với giới hạn 3 phiên; ghi BUSY riêng với lỗi ngoài dự kiến.</t>
  </si>
  <si>
    <t>3A-TV6; TV1–TV5 cùng vận hành và ghi số liệu</t>
  </si>
  <si>
    <t>4A-TV1</t>
  </si>
  <si>
    <t>4A</t>
  </si>
  <si>
    <t>Chốt phạm vi, điều phối sửa lỗi ưu tiên; viết mục tiêu/phạm vi/kiến trúc/phân công; ghép báo cáo theo mẫu môn học.</t>
  </si>
  <si>
    <t>Bản ứng viên nộp + báo cáo đã ghép + bảng đóng góp.</t>
  </si>
  <si>
    <t>Chỉ sửa lỗi bắt buộc, không thêm tính năng ngoài phạm vi; báo cáo tối đa 15 trang; nội dung chưa hoàn thành được ghi thật.</t>
  </si>
  <si>
    <t>3B-TV1–TV6</t>
  </si>
  <si>
    <t>4A-TV2</t>
  </si>
  <si>
    <t>Sửa lỗi GUI được giao; viết phần thiết kế GUI/hướng dẫn thao tác; chuẩn bị slide và ảnh demo.</t>
  </si>
  <si>
    <t>Module GUI đã sửa + nội dung báo cáo/slide riêng.</t>
  </si>
  <si>
    <t>Các test GUI lỗi đã được chạy lại; ảnh từ đúng bản ứng viên nộp; người khác làm theo hướng dẫn được.</t>
  </si>
  <si>
    <t>4A-TV3</t>
  </si>
  <si>
    <t>Sửa lỗi Client; viết phần TCP/giao thức/luồng gửi/timeout và đoạn code sẽ giải thích khi vấn đáp.</t>
  </si>
  <si>
    <t>Module Client đã sửa + báo cáo/slide phần truyền file.</t>
  </si>
  <si>
    <t>TV4 kiểm tra phần giao thức khớp Server; trình bày được xử lý đọc/ghi từng khối và xác nhận cuối.</t>
  </si>
  <si>
    <t>4A-TV4</t>
  </si>
  <si>
    <t>Sửa lỗi Server; viết phần kiểm tra input, file tạm, tên trùng, nhiều Client và giải phóng tài nguyên.</t>
  </si>
  <si>
    <t>Module Server đã sửa + báo cáo/slide phần nhận file.</t>
  </si>
  <si>
    <t>TV3 kiểm tra tương thích; test file thiếu/trùng tên/cô lập lỗi chạy lại đạt.</t>
  </si>
  <si>
    <t>4A-TV5</t>
  </si>
  <si>
    <t>Sửa lỗi queue/progress; viết sơ đồ trạng thái, công thức tốc độ, quy tắc xử lý lỗi và giới hạn sản phẩm.</t>
  </si>
  <si>
    <t>Module queue đã sửa + báo cáo/slide phần điều phối.</t>
  </si>
  <si>
    <t>TV2 kiểm tra GUI cùng trạng thái; sơ đồ phản ánh code hiện tại, không mô tả Pause/Resume chưa làm.</t>
  </si>
  <si>
    <t>4A-TV6</t>
  </si>
  <si>
    <t>Chạy hồi quy trên bản sửa; tổng hợp kết quả/hạn chế, viết phần kiểm thử và kịch bản quay demo thành công + lỗi.</t>
  </si>
  <si>
    <t>Báo cáo test cuối + nội dung báo cáo/slide + kịch bản demo.</t>
  </si>
  <si>
    <t>Số liệu có nguồn log; các lỗi đã sửa được test lại; test thất bại/chưa chạy không được đổi thành đạt để đẹp báo cáo.</t>
  </si>
  <si>
    <t>3B-TV6; bản sửa của TV1–TV5</t>
  </si>
  <si>
    <t>4B-TV1</t>
  </si>
  <si>
    <t>4B</t>
  </si>
  <si>
    <t>Khóa bản nộp; rà đủ hồ sơ/liên kết; đóng gói 7z đúng tên; ghi hình phần tổng quan có mặt; tổ chức tổng duyệt và tự nộp theo hạn mình đặt.</t>
  </si>
  <si>
    <t>Gói CourseCode-GroupCode-UDM_10.7z + phần trình bày TV1.</t>
  </si>
  <si>
    <t>Có source sạch, danh sách công việc, DOCX/PPTX, GitHub, link video trong README và báo cáo; không có bin/obj/cache/secret thừa; kiểm tra hạn hệ thống môn học.</t>
  </si>
  <si>
    <t>4A-TV1–TV6; phối hợp 4B-TV2–TV6</t>
  </si>
  <si>
    <t>4B-TV2</t>
  </si>
  <si>
    <t>Ghép slide cuối và các đoạn video của 6 người; ghi hình phần GUI có khuôn mặt; kiểm tra bố cục và thao tác demo.</t>
  </si>
  <si>
    <t>PPTX cuối + video ghép đủ thành viên + phần trình bày TV2.</t>
  </si>
  <si>
    <t>Video giải thích thao tác có âm thanh/chú thích; đủ 6 người trình bày phần riêng có mặt; không mất cảnh demo lỗi; không cần dựng hiệu ứng cầu kỳ.</t>
  </si>
  <si>
    <t>4A-TV2,4A-TV6; nhận clip từ TV1,TV3–TV6</t>
  </si>
  <si>
    <t>4B-TV3</t>
  </si>
  <si>
    <t>Clone/build sạch và kiểm tra chạy Client theo README; rà cấu hình máy demo; ghi hình phần gửi file có mặt; vấn đáp chéo TV4.</t>
  </si>
  <si>
    <t>Biên bản chạy sạch + phần trình bày TV3.</t>
  </si>
  <si>
    <t>Một thành viên khác chạy được Client theo tài liệu; giải thích luồng file đi qua code, không chỉ đọc slide.</t>
  </si>
  <si>
    <t>4A-TV3; bản ứng viên nộp</t>
  </si>
  <si>
    <t>4B-TV4</t>
  </si>
  <si>
    <t>Chuẩn bị Server/thư mục demo và dữ liệu giả lập; thử Start/Stop/khởi động lại; ghi hình phần nhận file có mặt; vấn đáp chéo TV3.</t>
  </si>
  <si>
    <t>Môi trường Server demo + phần trình bày TV4.</t>
  </si>
  <si>
    <t>Demo chạy lại được từ trạng thái sạch; không dùng file cá nhân nhạy cảm; giải thích file tạm, tên trùng và cô lập Client lỗi.</t>
  </si>
  <si>
    <t>4A-TV4; phối hợp TV6</t>
  </si>
  <si>
    <t>4B-TV5</t>
  </si>
  <si>
    <t>Rà queue/progress trên bản cuối; tổng hợp câu hỏi nền tảng và câu hỏi từng module; ghi hình phần hàng đợi có mặt; vấn đáp chéo TV2.</t>
  </si>
  <si>
    <t>Bộ câu hỏi/đáp án theo code thật + phần trình bày TV5.</t>
  </si>
  <si>
    <t>Cả 6 người giải thích được Client–Server, TCP, IP/port, chia khối, xác nhận và mất kết nối; không học thuộc nội dung khác code.</t>
  </si>
  <si>
    <t>4A-TV5; phối hợp cả nhóm</t>
  </si>
  <si>
    <t>4B-TV6</t>
  </si>
  <si>
    <t>Nghiệm thu bản cuối bằng kịch bản thành công/lỗi; kiểm tra số liệu, ảnh và quyền truy cập link video; ghi hình kiểm thử có mặt; vấn đáp chéo TV1.</t>
  </si>
  <si>
    <t>Biên bản nghiệm thu cuối + phần trình bày TV6.</t>
  </si>
  <si>
    <t>Bằng chứng cùng phiên bản nộp; không còn lỗi gây crash/sai file/mất dữ liệu trong kịch bản công bố; link mở được từ tài khoản khác có quyền.</t>
  </si>
  <si>
    <t>4A-TV6; bản cuối và video TV2</t>
  </si>
  <si>
    <t>Phạm Thái Khang</t>
  </si>
  <si>
    <t>Châu Huỳnh Minh Ngọc</t>
  </si>
  <si>
    <t>Lê Đăng Khoa</t>
  </si>
  <si>
    <t>Huỳnh Tấn Nam</t>
  </si>
  <si>
    <t>Phạm Nguyễn Quốc Khánh</t>
  </si>
  <si>
    <t>Khiếu Hữu Trung Kiên</t>
  </si>
  <si>
    <t>Họ và tên</t>
  </si>
  <si>
    <t>PHÂN CÔNG NHIỆM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</si>
</sst>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sz val="11"/>
      <color rgb="FF526171"/>
      <name val="Calibri"/>
    </font>
    <font>
      <b/>
      <sz val="11"/>
      <color rgb="FFFFFFFF"/>
      <name val="Calibri"/>
    </font>
    <font>
      <sz val="11"/>
      <color rgb="FF1764C0"/>
      <name val="Calibri"/>
    </font>
    <font>
      <sz val="11"/>
      <color rgb="FF000000"/>
      <name val="Calibri"/>
    </font>
    <font>
      <b/>
      <sz val="11"/>
      <color rgb="FF7046A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087F8C"/>
      </patternFill>
    </fill>
    <fill>
      <patternFill patternType="solid">
        <fgColor rgb="FFF3F7FA"/>
      </patternFill>
    </fill>
    <fill>
      <patternFill patternType="solid">
        <fgColor rgb="FFEAF3FF"/>
      </patternFill>
    </fill>
  </fills>
  <borders count="2">
    <border>
      <left/>
      <right/>
      <top/>
      <bottom/>
      <diagonal/>
    </border>
    <border>
      <left/>
      <right/>
      <top style="thin">
        <color rgb="FF93ACBD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4" fillId="5" borderId="1" xfId="0" applyNumberFormat="1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164" fontId="4" fillId="5" borderId="0" xfId="0" applyNumberFormat="1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lor rgb="FF7046A0"/>
      </font>
      <fill>
        <patternFill patternType="solid">
          <fgColor rgb="FFF1EAF9"/>
        </patternFill>
      </fill>
    </dxf>
    <dxf>
      <font>
        <color rgb="FFA86300"/>
      </font>
      <fill>
        <patternFill patternType="solid">
          <fgColor rgb="FFFFF3D6"/>
        </patternFill>
      </fill>
    </dxf>
    <dxf>
      <font>
        <color rgb="FFB32635"/>
      </font>
      <fill>
        <patternFill patternType="solid">
          <fgColor rgb="FFFCE7E9"/>
        </patternFill>
      </fill>
    </dxf>
    <dxf>
      <font>
        <color rgb="FF16704A"/>
      </font>
      <fill>
        <patternFill patternType="solid">
          <fgColor rgb="FFE3F3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7F8C"/>
    <pageSetUpPr fitToPage="1"/>
  </sheetPr>
  <dimension ref="A1:E12"/>
  <sheetViews>
    <sheetView showGridLines="0" zoomScale="80" workbookViewId="0">
      <pane ySplit="6" topLeftCell="A7" activePane="bottomLeft" state="frozen"/>
      <selection pane="bottomLeft" sqref="A1:E2"/>
    </sheetView>
  </sheetViews>
  <sheetFormatPr defaultRowHeight="14.4" x14ac:dyDescent="0.3"/>
  <cols>
    <col min="1" max="1" width="10" customWidth="1"/>
    <col min="2" max="2" width="25" customWidth="1"/>
    <col min="3" max="3" width="30" customWidth="1"/>
    <col min="4" max="4" width="64" customWidth="1"/>
    <col min="5" max="5" width="12" customWidth="1"/>
  </cols>
  <sheetData>
    <row r="1" spans="1:5" ht="22.95" customHeight="1" x14ac:dyDescent="0.3">
      <c r="A1" s="23" t="s">
        <v>2</v>
      </c>
      <c r="B1" s="24"/>
      <c r="C1" s="24"/>
      <c r="D1" s="24"/>
      <c r="E1" s="24"/>
    </row>
    <row r="2" spans="1:5" ht="18" customHeight="1" x14ac:dyDescent="0.3">
      <c r="A2" s="24"/>
      <c r="B2" s="24"/>
      <c r="C2" s="24"/>
      <c r="D2" s="24"/>
      <c r="E2" s="24"/>
    </row>
    <row r="3" spans="1:5" ht="19.95" customHeight="1" x14ac:dyDescent="0.3">
      <c r="A3" s="20"/>
      <c r="B3" s="21"/>
      <c r="C3" s="21"/>
      <c r="D3" s="21"/>
      <c r="E3" s="21"/>
    </row>
    <row r="4" spans="1:5" ht="19.05" customHeight="1" x14ac:dyDescent="0.3">
      <c r="A4" s="21"/>
      <c r="B4" s="21"/>
      <c r="C4" s="21"/>
      <c r="D4" s="21"/>
      <c r="E4" s="21"/>
    </row>
    <row r="6" spans="1:5" ht="34.049999999999997" customHeight="1" x14ac:dyDescent="0.3">
      <c r="A6" s="14" t="s">
        <v>3</v>
      </c>
      <c r="B6" s="14" t="s">
        <v>281</v>
      </c>
      <c r="C6" s="14" t="s">
        <v>4</v>
      </c>
      <c r="D6" s="14" t="s">
        <v>5</v>
      </c>
      <c r="E6" s="14" t="s">
        <v>6</v>
      </c>
    </row>
    <row r="7" spans="1:5" ht="43.05" customHeight="1" x14ac:dyDescent="0.3">
      <c r="A7" s="15" t="s">
        <v>0</v>
      </c>
      <c r="B7" s="16" t="s">
        <v>275</v>
      </c>
      <c r="C7" s="15" t="s">
        <v>7</v>
      </c>
      <c r="D7" s="18" t="s">
        <v>8</v>
      </c>
      <c r="E7" s="15" t="s">
        <v>9</v>
      </c>
    </row>
    <row r="8" spans="1:5" ht="43.05" customHeight="1" x14ac:dyDescent="0.3">
      <c r="A8" s="17" t="s">
        <v>10</v>
      </c>
      <c r="B8" s="16" t="s">
        <v>276</v>
      </c>
      <c r="C8" s="17" t="s">
        <v>11</v>
      </c>
      <c r="D8" s="19" t="s">
        <v>12</v>
      </c>
      <c r="E8" s="17" t="s">
        <v>13</v>
      </c>
    </row>
    <row r="9" spans="1:5" ht="43.05" customHeight="1" x14ac:dyDescent="0.3">
      <c r="A9" s="15" t="s">
        <v>14</v>
      </c>
      <c r="B9" s="16" t="s">
        <v>277</v>
      </c>
      <c r="C9" s="15" t="s">
        <v>15</v>
      </c>
      <c r="D9" s="18" t="s">
        <v>16</v>
      </c>
      <c r="E9" s="15" t="s">
        <v>1</v>
      </c>
    </row>
    <row r="10" spans="1:5" ht="43.05" customHeight="1" x14ac:dyDescent="0.3">
      <c r="A10" s="17" t="s">
        <v>1</v>
      </c>
      <c r="B10" s="16" t="s">
        <v>278</v>
      </c>
      <c r="C10" s="17" t="s">
        <v>17</v>
      </c>
      <c r="D10" s="19" t="s">
        <v>18</v>
      </c>
      <c r="E10" s="17" t="s">
        <v>14</v>
      </c>
    </row>
    <row r="11" spans="1:5" ht="43.05" customHeight="1" x14ac:dyDescent="0.3">
      <c r="A11" s="15" t="s">
        <v>13</v>
      </c>
      <c r="B11" s="16" t="s">
        <v>279</v>
      </c>
      <c r="C11" s="15" t="s">
        <v>19</v>
      </c>
      <c r="D11" s="18" t="s">
        <v>20</v>
      </c>
      <c r="E11" s="15" t="s">
        <v>10</v>
      </c>
    </row>
    <row r="12" spans="1:5" ht="43.05" customHeight="1" x14ac:dyDescent="0.3">
      <c r="A12" s="17" t="s">
        <v>9</v>
      </c>
      <c r="B12" s="16" t="s">
        <v>280</v>
      </c>
      <c r="C12" s="17" t="s">
        <v>21</v>
      </c>
      <c r="D12" s="19" t="s">
        <v>22</v>
      </c>
      <c r="E12" s="17" t="s">
        <v>0</v>
      </c>
    </row>
  </sheetData>
  <autoFilter ref="A6:E12" xr:uid="{00000000-0009-0000-0000-000001000000}"/>
  <mergeCells count="2">
    <mergeCell ref="A3:E4"/>
    <mergeCell ref="A1:E2"/>
  </mergeCells>
  <pageMargins left="0.75" right="0.75" top="1" bottom="1" header="0.5" footer="0.5"/>
  <pageSetup paperSize="8" fitToHeight="0" orientation="landscape"/>
  <headerFooter>
    <oddFooter>&amp;C&amp;9 UDM_10 | Khung 4 tuan | 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7F8C"/>
    <pageSetUpPr fitToPage="1"/>
  </sheetPr>
  <dimension ref="A1:N54"/>
  <sheetViews>
    <sheetView showGridLines="0" tabSelected="1" zoomScale="80" workbookViewId="0">
      <pane xSplit="5" ySplit="6" topLeftCell="F7" activePane="bottomRight" state="frozen"/>
      <selection pane="topRight"/>
      <selection pane="bottomLeft"/>
      <selection pane="bottomRight" activeCell="O11" sqref="O11"/>
    </sheetView>
  </sheetViews>
  <sheetFormatPr defaultRowHeight="14.4" x14ac:dyDescent="0.3"/>
  <cols>
    <col min="1" max="1" width="13" customWidth="1"/>
    <col min="2" max="2" width="7" customWidth="1"/>
    <col min="3" max="3" width="11" customWidth="1"/>
    <col min="4" max="4" width="10" customWidth="1"/>
    <col min="5" max="5" width="23" customWidth="1"/>
    <col min="6" max="6" width="61" customWidth="1"/>
    <col min="7" max="7" width="45" customWidth="1"/>
    <col min="8" max="8" width="65" customWidth="1"/>
    <col min="9" max="9" width="35" customWidth="1"/>
    <col min="10" max="10" width="12" customWidth="1"/>
    <col min="11" max="11" width="14" customWidth="1"/>
    <col min="12" max="12" width="22" customWidth="1"/>
    <col min="13" max="13" width="36" customWidth="1"/>
    <col min="14" max="14" width="34" customWidth="1"/>
  </cols>
  <sheetData>
    <row r="1" spans="1:14" ht="22.95" customHeight="1" x14ac:dyDescent="0.3">
      <c r="A1" s="22" t="s">
        <v>282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8" customHeigh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19.95" customHeight="1" x14ac:dyDescent="0.3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ht="19.05" customHeight="1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6" spans="1:14" ht="34.049999999999997" customHeight="1" x14ac:dyDescent="0.3">
      <c r="A6" s="14" t="s">
        <v>23</v>
      </c>
      <c r="B6" s="14" t="s">
        <v>24</v>
      </c>
      <c r="C6" s="14" t="s">
        <v>25</v>
      </c>
      <c r="D6" s="14" t="s">
        <v>3</v>
      </c>
      <c r="E6" s="14" t="s">
        <v>26</v>
      </c>
      <c r="F6" s="14" t="s">
        <v>27</v>
      </c>
      <c r="G6" s="14" t="s">
        <v>28</v>
      </c>
      <c r="H6" s="14" t="s">
        <v>29</v>
      </c>
      <c r="I6" s="14" t="s">
        <v>30</v>
      </c>
      <c r="J6" s="14" t="s">
        <v>31</v>
      </c>
      <c r="K6" s="14" t="s">
        <v>32</v>
      </c>
      <c r="L6" s="14" t="s">
        <v>33</v>
      </c>
      <c r="M6" s="14" t="s">
        <v>34</v>
      </c>
      <c r="N6" s="14" t="s">
        <v>35</v>
      </c>
    </row>
    <row r="7" spans="1:14" ht="52.05" customHeight="1" x14ac:dyDescent="0.3">
      <c r="A7" s="4" t="s">
        <v>36</v>
      </c>
      <c r="B7" s="5">
        <v>1</v>
      </c>
      <c r="C7" s="5" t="s">
        <v>37</v>
      </c>
      <c r="D7" s="5" t="s">
        <v>0</v>
      </c>
      <c r="E7" s="6" t="str">
        <f>IFERROR(VLOOKUP(D7,'Thành Viên'!$A$7:$B$12,2,FALSE),"Kiểm tra mã TV")</f>
        <v>Phạm Thái Khang</v>
      </c>
      <c r="F7" s="5" t="s">
        <v>38</v>
      </c>
      <c r="G7" s="5" t="s">
        <v>39</v>
      </c>
      <c r="H7" s="5" t="s">
        <v>40</v>
      </c>
      <c r="I7" s="5" t="s">
        <v>41</v>
      </c>
      <c r="J7" s="5" t="s">
        <v>9</v>
      </c>
      <c r="K7" s="7"/>
      <c r="L7" s="8" t="s">
        <v>42</v>
      </c>
      <c r="M7" s="8"/>
      <c r="N7" s="8"/>
    </row>
    <row r="8" spans="1:14" ht="43.05" customHeight="1" x14ac:dyDescent="0.3">
      <c r="A8" s="9" t="s">
        <v>43</v>
      </c>
      <c r="B8" s="2">
        <v>1</v>
      </c>
      <c r="C8" s="2" t="s">
        <v>37</v>
      </c>
      <c r="D8" s="2" t="s">
        <v>10</v>
      </c>
      <c r="E8" s="10" t="str">
        <f>IFERROR(VLOOKUP(D8,'Thành Viên'!$A$7:$B$12,2,FALSE),"Kiểm tra mã TV")</f>
        <v>Châu Huỳnh Minh Ngọc</v>
      </c>
      <c r="F8" s="2" t="s">
        <v>44</v>
      </c>
      <c r="G8" s="2" t="s">
        <v>45</v>
      </c>
      <c r="H8" s="2" t="s">
        <v>46</v>
      </c>
      <c r="I8" s="2" t="s">
        <v>41</v>
      </c>
      <c r="J8" s="2" t="s">
        <v>13</v>
      </c>
      <c r="K8" s="11"/>
      <c r="L8" s="3" t="s">
        <v>42</v>
      </c>
      <c r="M8" s="3"/>
      <c r="N8" s="3"/>
    </row>
    <row r="9" spans="1:14" ht="43.05" customHeight="1" x14ac:dyDescent="0.3">
      <c r="A9" s="12" t="s">
        <v>47</v>
      </c>
      <c r="B9" s="1">
        <v>1</v>
      </c>
      <c r="C9" s="1" t="s">
        <v>37</v>
      </c>
      <c r="D9" s="1" t="s">
        <v>14</v>
      </c>
      <c r="E9" s="13" t="str">
        <f>IFERROR(VLOOKUP(D9,'Thành Viên'!$A$7:$B$12,2,FALSE),"Kiểm tra mã TV")</f>
        <v>Lê Đăng Khoa</v>
      </c>
      <c r="F9" s="1" t="s">
        <v>48</v>
      </c>
      <c r="G9" s="1" t="s">
        <v>49</v>
      </c>
      <c r="H9" s="1" t="s">
        <v>50</v>
      </c>
      <c r="I9" s="1" t="s">
        <v>41</v>
      </c>
      <c r="J9" s="1" t="s">
        <v>1</v>
      </c>
      <c r="K9" s="11"/>
      <c r="L9" s="3" t="s">
        <v>42</v>
      </c>
      <c r="M9" s="3"/>
      <c r="N9" s="3"/>
    </row>
    <row r="10" spans="1:14" ht="43.05" customHeight="1" x14ac:dyDescent="0.3">
      <c r="A10" s="9" t="s">
        <v>51</v>
      </c>
      <c r="B10" s="2">
        <v>1</v>
      </c>
      <c r="C10" s="2" t="s">
        <v>37</v>
      </c>
      <c r="D10" s="2" t="s">
        <v>1</v>
      </c>
      <c r="E10" s="10" t="str">
        <f>IFERROR(VLOOKUP(D10,'Thành Viên'!$A$7:$B$12,2,FALSE),"Kiểm tra mã TV")</f>
        <v>Huỳnh Tấn Nam</v>
      </c>
      <c r="F10" s="2" t="s">
        <v>52</v>
      </c>
      <c r="G10" s="2" t="s">
        <v>53</v>
      </c>
      <c r="H10" s="2" t="s">
        <v>54</v>
      </c>
      <c r="I10" s="2" t="s">
        <v>41</v>
      </c>
      <c r="J10" s="2" t="s">
        <v>14</v>
      </c>
      <c r="K10" s="11"/>
      <c r="L10" s="3" t="s">
        <v>42</v>
      </c>
      <c r="M10" s="3"/>
      <c r="N10" s="3"/>
    </row>
    <row r="11" spans="1:14" ht="52.05" customHeight="1" x14ac:dyDescent="0.3">
      <c r="A11" s="12" t="s">
        <v>55</v>
      </c>
      <c r="B11" s="1">
        <v>1</v>
      </c>
      <c r="C11" s="1" t="s">
        <v>37</v>
      </c>
      <c r="D11" s="1" t="s">
        <v>13</v>
      </c>
      <c r="E11" s="13" t="str">
        <f>IFERROR(VLOOKUP(D11,'Thành Viên'!$A$7:$B$12,2,FALSE),"Kiểm tra mã TV")</f>
        <v>Phạm Nguyễn Quốc Khánh</v>
      </c>
      <c r="F11" s="1" t="s">
        <v>56</v>
      </c>
      <c r="G11" s="1" t="s">
        <v>57</v>
      </c>
      <c r="H11" s="1" t="s">
        <v>58</v>
      </c>
      <c r="I11" s="1" t="s">
        <v>41</v>
      </c>
      <c r="J11" s="1" t="s">
        <v>10</v>
      </c>
      <c r="K11" s="11"/>
      <c r="L11" s="3" t="s">
        <v>42</v>
      </c>
      <c r="M11" s="3"/>
      <c r="N11" s="3"/>
    </row>
    <row r="12" spans="1:14" ht="43.05" customHeight="1" x14ac:dyDescent="0.3">
      <c r="A12" s="9" t="s">
        <v>59</v>
      </c>
      <c r="B12" s="2">
        <v>1</v>
      </c>
      <c r="C12" s="2" t="s">
        <v>37</v>
      </c>
      <c r="D12" s="2" t="s">
        <v>9</v>
      </c>
      <c r="E12" s="10" t="str">
        <f>IFERROR(VLOOKUP(D12,'Thành Viên'!$A$7:$B$12,2,FALSE),"Kiểm tra mã TV")</f>
        <v>Khiếu Hữu Trung Kiên</v>
      </c>
      <c r="F12" s="2" t="s">
        <v>60</v>
      </c>
      <c r="G12" s="2" t="s">
        <v>61</v>
      </c>
      <c r="H12" s="2" t="s">
        <v>62</v>
      </c>
      <c r="I12" s="2" t="s">
        <v>41</v>
      </c>
      <c r="J12" s="2" t="s">
        <v>0</v>
      </c>
      <c r="K12" s="11"/>
      <c r="L12" s="3" t="s">
        <v>42</v>
      </c>
      <c r="M12" s="3"/>
      <c r="N12" s="3"/>
    </row>
    <row r="13" spans="1:14" ht="52.05" customHeight="1" x14ac:dyDescent="0.3">
      <c r="A13" s="4" t="s">
        <v>63</v>
      </c>
      <c r="B13" s="5">
        <v>1</v>
      </c>
      <c r="C13" s="5" t="s">
        <v>64</v>
      </c>
      <c r="D13" s="5" t="s">
        <v>0</v>
      </c>
      <c r="E13" s="6" t="str">
        <f>IFERROR(VLOOKUP(D13,'Thành Viên'!$A$7:$B$12,2,FALSE),"Kiểm tra mã TV")</f>
        <v>Phạm Thái Khang</v>
      </c>
      <c r="F13" s="5" t="s">
        <v>65</v>
      </c>
      <c r="G13" s="5" t="s">
        <v>66</v>
      </c>
      <c r="H13" s="5" t="s">
        <v>67</v>
      </c>
      <c r="I13" s="5" t="s">
        <v>68</v>
      </c>
      <c r="J13" s="5" t="s">
        <v>9</v>
      </c>
      <c r="K13" s="7"/>
      <c r="L13" s="8" t="s">
        <v>42</v>
      </c>
      <c r="M13" s="8"/>
      <c r="N13" s="8"/>
    </row>
    <row r="14" spans="1:14" ht="43.05" customHeight="1" x14ac:dyDescent="0.3">
      <c r="A14" s="9" t="s">
        <v>69</v>
      </c>
      <c r="B14" s="2">
        <v>1</v>
      </c>
      <c r="C14" s="2" t="s">
        <v>64</v>
      </c>
      <c r="D14" s="2" t="s">
        <v>10</v>
      </c>
      <c r="E14" s="10" t="str">
        <f>IFERROR(VLOOKUP(D14,'Thành Viên'!$A$7:$B$12,2,FALSE),"Kiểm tra mã TV")</f>
        <v>Châu Huỳnh Minh Ngọc</v>
      </c>
      <c r="F14" s="2" t="s">
        <v>70</v>
      </c>
      <c r="G14" s="2" t="s">
        <v>71</v>
      </c>
      <c r="H14" s="2" t="s">
        <v>72</v>
      </c>
      <c r="I14" s="2" t="s">
        <v>73</v>
      </c>
      <c r="J14" s="2" t="s">
        <v>13</v>
      </c>
      <c r="K14" s="11"/>
      <c r="L14" s="3" t="s">
        <v>42</v>
      </c>
      <c r="M14" s="3"/>
      <c r="N14" s="3"/>
    </row>
    <row r="15" spans="1:14" ht="43.05" customHeight="1" x14ac:dyDescent="0.3">
      <c r="A15" s="12" t="s">
        <v>74</v>
      </c>
      <c r="B15" s="1">
        <v>1</v>
      </c>
      <c r="C15" s="1" t="s">
        <v>64</v>
      </c>
      <c r="D15" s="1" t="s">
        <v>14</v>
      </c>
      <c r="E15" s="13" t="str">
        <f>IFERROR(VLOOKUP(D15,'Thành Viên'!$A$7:$B$12,2,FALSE),"Kiểm tra mã TV")</f>
        <v>Lê Đăng Khoa</v>
      </c>
      <c r="F15" s="1" t="s">
        <v>75</v>
      </c>
      <c r="G15" s="1" t="s">
        <v>76</v>
      </c>
      <c r="H15" s="1" t="s">
        <v>77</v>
      </c>
      <c r="I15" s="1" t="s">
        <v>78</v>
      </c>
      <c r="J15" s="1" t="s">
        <v>1</v>
      </c>
      <c r="K15" s="11"/>
      <c r="L15" s="3" t="s">
        <v>42</v>
      </c>
      <c r="M15" s="3"/>
      <c r="N15" s="3"/>
    </row>
    <row r="16" spans="1:14" ht="43.05" customHeight="1" x14ac:dyDescent="0.3">
      <c r="A16" s="9" t="s">
        <v>79</v>
      </c>
      <c r="B16" s="2">
        <v>1</v>
      </c>
      <c r="C16" s="2" t="s">
        <v>64</v>
      </c>
      <c r="D16" s="2" t="s">
        <v>1</v>
      </c>
      <c r="E16" s="10" t="str">
        <f>IFERROR(VLOOKUP(D16,'Thành Viên'!$A$7:$B$12,2,FALSE),"Kiểm tra mã TV")</f>
        <v>Huỳnh Tấn Nam</v>
      </c>
      <c r="F16" s="2" t="s">
        <v>80</v>
      </c>
      <c r="G16" s="2" t="s">
        <v>81</v>
      </c>
      <c r="H16" s="2" t="s">
        <v>82</v>
      </c>
      <c r="I16" s="2" t="s">
        <v>83</v>
      </c>
      <c r="J16" s="2" t="s">
        <v>14</v>
      </c>
      <c r="K16" s="11"/>
      <c r="L16" s="3" t="s">
        <v>42</v>
      </c>
      <c r="M16" s="3"/>
      <c r="N16" s="3"/>
    </row>
    <row r="17" spans="1:14" ht="52.05" customHeight="1" x14ac:dyDescent="0.3">
      <c r="A17" s="12" t="s">
        <v>84</v>
      </c>
      <c r="B17" s="1">
        <v>1</v>
      </c>
      <c r="C17" s="1" t="s">
        <v>64</v>
      </c>
      <c r="D17" s="1" t="s">
        <v>13</v>
      </c>
      <c r="E17" s="13" t="str">
        <f>IFERROR(VLOOKUP(D17,'Thành Viên'!$A$7:$B$12,2,FALSE),"Kiểm tra mã TV")</f>
        <v>Phạm Nguyễn Quốc Khánh</v>
      </c>
      <c r="F17" s="1" t="s">
        <v>85</v>
      </c>
      <c r="G17" s="1" t="s">
        <v>86</v>
      </c>
      <c r="H17" s="1" t="s">
        <v>87</v>
      </c>
      <c r="I17" s="1" t="s">
        <v>88</v>
      </c>
      <c r="J17" s="1" t="s">
        <v>10</v>
      </c>
      <c r="K17" s="11"/>
      <c r="L17" s="3" t="s">
        <v>42</v>
      </c>
      <c r="M17" s="3"/>
      <c r="N17" s="3"/>
    </row>
    <row r="18" spans="1:14" ht="52.05" customHeight="1" x14ac:dyDescent="0.3">
      <c r="A18" s="9" t="s">
        <v>89</v>
      </c>
      <c r="B18" s="2">
        <v>1</v>
      </c>
      <c r="C18" s="2" t="s">
        <v>64</v>
      </c>
      <c r="D18" s="2" t="s">
        <v>9</v>
      </c>
      <c r="E18" s="10" t="str">
        <f>IFERROR(VLOOKUP(D18,'Thành Viên'!$A$7:$B$12,2,FALSE),"Kiểm tra mã TV")</f>
        <v>Khiếu Hữu Trung Kiên</v>
      </c>
      <c r="F18" s="2" t="s">
        <v>90</v>
      </c>
      <c r="G18" s="2" t="s">
        <v>91</v>
      </c>
      <c r="H18" s="2" t="s">
        <v>92</v>
      </c>
      <c r="I18" s="2" t="s">
        <v>93</v>
      </c>
      <c r="J18" s="2" t="s">
        <v>0</v>
      </c>
      <c r="K18" s="11"/>
      <c r="L18" s="3" t="s">
        <v>42</v>
      </c>
      <c r="M18" s="3"/>
      <c r="N18" s="3"/>
    </row>
    <row r="19" spans="1:14" ht="52.05" customHeight="1" x14ac:dyDescent="0.3">
      <c r="A19" s="4" t="s">
        <v>94</v>
      </c>
      <c r="B19" s="5">
        <v>2</v>
      </c>
      <c r="C19" s="5" t="s">
        <v>95</v>
      </c>
      <c r="D19" s="5" t="s">
        <v>0</v>
      </c>
      <c r="E19" s="6" t="str">
        <f>IFERROR(VLOOKUP(D19,'Thành Viên'!$A$7:$B$12,2,FALSE),"Kiểm tra mã TV")</f>
        <v>Phạm Thái Khang</v>
      </c>
      <c r="F19" s="5" t="s">
        <v>96</v>
      </c>
      <c r="G19" s="5" t="s">
        <v>97</v>
      </c>
      <c r="H19" s="5" t="s">
        <v>98</v>
      </c>
      <c r="I19" s="5" t="s">
        <v>99</v>
      </c>
      <c r="J19" s="5" t="s">
        <v>9</v>
      </c>
      <c r="K19" s="7"/>
      <c r="L19" s="8" t="s">
        <v>42</v>
      </c>
      <c r="M19" s="8"/>
      <c r="N19" s="8"/>
    </row>
    <row r="20" spans="1:14" ht="43.05" customHeight="1" x14ac:dyDescent="0.3">
      <c r="A20" s="9" t="s">
        <v>100</v>
      </c>
      <c r="B20" s="2">
        <v>2</v>
      </c>
      <c r="C20" s="2" t="s">
        <v>95</v>
      </c>
      <c r="D20" s="2" t="s">
        <v>10</v>
      </c>
      <c r="E20" s="10" t="str">
        <f>IFERROR(VLOOKUP(D20,'Thành Viên'!$A$7:$B$12,2,FALSE),"Kiểm tra mã TV")</f>
        <v>Châu Huỳnh Minh Ngọc</v>
      </c>
      <c r="F20" s="2" t="s">
        <v>101</v>
      </c>
      <c r="G20" s="2" t="s">
        <v>102</v>
      </c>
      <c r="H20" s="2" t="s">
        <v>103</v>
      </c>
      <c r="I20" s="2" t="s">
        <v>104</v>
      </c>
      <c r="J20" s="2" t="s">
        <v>13</v>
      </c>
      <c r="K20" s="11"/>
      <c r="L20" s="3" t="s">
        <v>42</v>
      </c>
      <c r="M20" s="3"/>
      <c r="N20" s="3"/>
    </row>
    <row r="21" spans="1:14" ht="43.05" customHeight="1" x14ac:dyDescent="0.3">
      <c r="A21" s="12" t="s">
        <v>105</v>
      </c>
      <c r="B21" s="1">
        <v>2</v>
      </c>
      <c r="C21" s="1" t="s">
        <v>95</v>
      </c>
      <c r="D21" s="1" t="s">
        <v>14</v>
      </c>
      <c r="E21" s="13" t="str">
        <f>IFERROR(VLOOKUP(D21,'Thành Viên'!$A$7:$B$12,2,FALSE),"Kiểm tra mã TV")</f>
        <v>Lê Đăng Khoa</v>
      </c>
      <c r="F21" s="1" t="s">
        <v>106</v>
      </c>
      <c r="G21" s="1" t="s">
        <v>107</v>
      </c>
      <c r="H21" s="1" t="s">
        <v>108</v>
      </c>
      <c r="I21" s="1" t="s">
        <v>109</v>
      </c>
      <c r="J21" s="1" t="s">
        <v>1</v>
      </c>
      <c r="K21" s="11"/>
      <c r="L21" s="3" t="s">
        <v>42</v>
      </c>
      <c r="M21" s="3"/>
      <c r="N21" s="3"/>
    </row>
    <row r="22" spans="1:14" ht="52.05" customHeight="1" x14ac:dyDescent="0.3">
      <c r="A22" s="9" t="s">
        <v>110</v>
      </c>
      <c r="B22" s="2">
        <v>2</v>
      </c>
      <c r="C22" s="2" t="s">
        <v>95</v>
      </c>
      <c r="D22" s="2" t="s">
        <v>1</v>
      </c>
      <c r="E22" s="10" t="str">
        <f>IFERROR(VLOOKUP(D22,'Thành Viên'!$A$7:$B$12,2,FALSE),"Kiểm tra mã TV")</f>
        <v>Huỳnh Tấn Nam</v>
      </c>
      <c r="F22" s="2" t="s">
        <v>111</v>
      </c>
      <c r="G22" s="2" t="s">
        <v>112</v>
      </c>
      <c r="H22" s="2" t="s">
        <v>113</v>
      </c>
      <c r="I22" s="2" t="s">
        <v>114</v>
      </c>
      <c r="J22" s="2" t="s">
        <v>14</v>
      </c>
      <c r="K22" s="11"/>
      <c r="L22" s="3" t="s">
        <v>42</v>
      </c>
      <c r="M22" s="3"/>
      <c r="N22" s="3"/>
    </row>
    <row r="23" spans="1:14" ht="52.05" customHeight="1" x14ac:dyDescent="0.3">
      <c r="A23" s="12" t="s">
        <v>115</v>
      </c>
      <c r="B23" s="1">
        <v>2</v>
      </c>
      <c r="C23" s="1" t="s">
        <v>95</v>
      </c>
      <c r="D23" s="1" t="s">
        <v>13</v>
      </c>
      <c r="E23" s="13" t="str">
        <f>IFERROR(VLOOKUP(D23,'Thành Viên'!$A$7:$B$12,2,FALSE),"Kiểm tra mã TV")</f>
        <v>Phạm Nguyễn Quốc Khánh</v>
      </c>
      <c r="F23" s="1" t="s">
        <v>116</v>
      </c>
      <c r="G23" s="1" t="s">
        <v>117</v>
      </c>
      <c r="H23" s="1" t="s">
        <v>118</v>
      </c>
      <c r="I23" s="1" t="s">
        <v>119</v>
      </c>
      <c r="J23" s="1" t="s">
        <v>10</v>
      </c>
      <c r="K23" s="11"/>
      <c r="L23" s="3" t="s">
        <v>42</v>
      </c>
      <c r="M23" s="3"/>
      <c r="N23" s="3"/>
    </row>
    <row r="24" spans="1:14" ht="43.05" customHeight="1" x14ac:dyDescent="0.3">
      <c r="A24" s="9" t="s">
        <v>120</v>
      </c>
      <c r="B24" s="2">
        <v>2</v>
      </c>
      <c r="C24" s="2" t="s">
        <v>95</v>
      </c>
      <c r="D24" s="2" t="s">
        <v>9</v>
      </c>
      <c r="E24" s="10" t="str">
        <f>IFERROR(VLOOKUP(D24,'Thành Viên'!$A$7:$B$12,2,FALSE),"Kiểm tra mã TV")</f>
        <v>Khiếu Hữu Trung Kiên</v>
      </c>
      <c r="F24" s="2" t="s">
        <v>121</v>
      </c>
      <c r="G24" s="2" t="s">
        <v>122</v>
      </c>
      <c r="H24" s="2" t="s">
        <v>123</v>
      </c>
      <c r="I24" s="2" t="s">
        <v>124</v>
      </c>
      <c r="J24" s="2" t="s">
        <v>0</v>
      </c>
      <c r="K24" s="11"/>
      <c r="L24" s="3" t="s">
        <v>42</v>
      </c>
      <c r="M24" s="3"/>
      <c r="N24" s="3"/>
    </row>
    <row r="25" spans="1:14" ht="52.05" customHeight="1" x14ac:dyDescent="0.3">
      <c r="A25" s="4" t="s">
        <v>125</v>
      </c>
      <c r="B25" s="5">
        <v>2</v>
      </c>
      <c r="C25" s="5" t="s">
        <v>126</v>
      </c>
      <c r="D25" s="5" t="s">
        <v>0</v>
      </c>
      <c r="E25" s="6" t="str">
        <f>IFERROR(VLOOKUP(D25,'Thành Viên'!$A$7:$B$12,2,FALSE),"Kiểm tra mã TV")</f>
        <v>Phạm Thái Khang</v>
      </c>
      <c r="F25" s="5" t="s">
        <v>127</v>
      </c>
      <c r="G25" s="5" t="s">
        <v>128</v>
      </c>
      <c r="H25" s="5" t="s">
        <v>129</v>
      </c>
      <c r="I25" s="5" t="s">
        <v>130</v>
      </c>
      <c r="J25" s="5" t="s">
        <v>9</v>
      </c>
      <c r="K25" s="7"/>
      <c r="L25" s="8" t="s">
        <v>42</v>
      </c>
      <c r="M25" s="8"/>
      <c r="N25" s="8"/>
    </row>
    <row r="26" spans="1:14" ht="52.05" customHeight="1" x14ac:dyDescent="0.3">
      <c r="A26" s="9" t="s">
        <v>131</v>
      </c>
      <c r="B26" s="2">
        <v>2</v>
      </c>
      <c r="C26" s="2" t="s">
        <v>126</v>
      </c>
      <c r="D26" s="2" t="s">
        <v>10</v>
      </c>
      <c r="E26" s="10" t="str">
        <f>IFERROR(VLOOKUP(D26,'Thành Viên'!$A$7:$B$12,2,FALSE),"Kiểm tra mã TV")</f>
        <v>Châu Huỳnh Minh Ngọc</v>
      </c>
      <c r="F26" s="2" t="s">
        <v>132</v>
      </c>
      <c r="G26" s="2" t="s">
        <v>133</v>
      </c>
      <c r="H26" s="2" t="s">
        <v>134</v>
      </c>
      <c r="I26" s="2" t="s">
        <v>135</v>
      </c>
      <c r="J26" s="2" t="s">
        <v>13</v>
      </c>
      <c r="K26" s="11"/>
      <c r="L26" s="3" t="s">
        <v>42</v>
      </c>
      <c r="M26" s="3"/>
      <c r="N26" s="3"/>
    </row>
    <row r="27" spans="1:14" ht="43.05" customHeight="1" x14ac:dyDescent="0.3">
      <c r="A27" s="12" t="s">
        <v>136</v>
      </c>
      <c r="B27" s="1">
        <v>2</v>
      </c>
      <c r="C27" s="1" t="s">
        <v>126</v>
      </c>
      <c r="D27" s="1" t="s">
        <v>14</v>
      </c>
      <c r="E27" s="13" t="str">
        <f>IFERROR(VLOOKUP(D27,'Thành Viên'!$A$7:$B$12,2,FALSE),"Kiểm tra mã TV")</f>
        <v>Lê Đăng Khoa</v>
      </c>
      <c r="F27" s="1" t="s">
        <v>137</v>
      </c>
      <c r="G27" s="1" t="s">
        <v>138</v>
      </c>
      <c r="H27" s="1" t="s">
        <v>139</v>
      </c>
      <c r="I27" s="1" t="s">
        <v>105</v>
      </c>
      <c r="J27" s="1" t="s">
        <v>1</v>
      </c>
      <c r="K27" s="11"/>
      <c r="L27" s="3" t="s">
        <v>42</v>
      </c>
      <c r="M27" s="3"/>
      <c r="N27" s="3"/>
    </row>
    <row r="28" spans="1:14" ht="52.05" customHeight="1" x14ac:dyDescent="0.3">
      <c r="A28" s="9" t="s">
        <v>140</v>
      </c>
      <c r="B28" s="2">
        <v>2</v>
      </c>
      <c r="C28" s="2" t="s">
        <v>126</v>
      </c>
      <c r="D28" s="2" t="s">
        <v>1</v>
      </c>
      <c r="E28" s="10" t="str">
        <f>IFERROR(VLOOKUP(D28,'Thành Viên'!$A$7:$B$12,2,FALSE),"Kiểm tra mã TV")</f>
        <v>Huỳnh Tấn Nam</v>
      </c>
      <c r="F28" s="2" t="s">
        <v>141</v>
      </c>
      <c r="G28" s="2" t="s">
        <v>142</v>
      </c>
      <c r="H28" s="2" t="s">
        <v>143</v>
      </c>
      <c r="I28" s="2" t="s">
        <v>144</v>
      </c>
      <c r="J28" s="2" t="s">
        <v>14</v>
      </c>
      <c r="K28" s="11"/>
      <c r="L28" s="3" t="s">
        <v>42</v>
      </c>
      <c r="M28" s="3"/>
      <c r="N28" s="3"/>
    </row>
    <row r="29" spans="1:14" ht="52.05" customHeight="1" x14ac:dyDescent="0.3">
      <c r="A29" s="12" t="s">
        <v>145</v>
      </c>
      <c r="B29" s="1">
        <v>2</v>
      </c>
      <c r="C29" s="1" t="s">
        <v>126</v>
      </c>
      <c r="D29" s="1" t="s">
        <v>13</v>
      </c>
      <c r="E29" s="13" t="str">
        <f>IFERROR(VLOOKUP(D29,'Thành Viên'!$A$7:$B$12,2,FALSE),"Kiểm tra mã TV")</f>
        <v>Phạm Nguyễn Quốc Khánh</v>
      </c>
      <c r="F29" s="1" t="s">
        <v>146</v>
      </c>
      <c r="G29" s="1" t="s">
        <v>147</v>
      </c>
      <c r="H29" s="1" t="s">
        <v>148</v>
      </c>
      <c r="I29" s="1" t="s">
        <v>149</v>
      </c>
      <c r="J29" s="1" t="s">
        <v>10</v>
      </c>
      <c r="K29" s="11"/>
      <c r="L29" s="3" t="s">
        <v>42</v>
      </c>
      <c r="M29" s="3"/>
      <c r="N29" s="3"/>
    </row>
    <row r="30" spans="1:14" ht="52.05" customHeight="1" x14ac:dyDescent="0.3">
      <c r="A30" s="9" t="s">
        <v>150</v>
      </c>
      <c r="B30" s="2">
        <v>2</v>
      </c>
      <c r="C30" s="2" t="s">
        <v>126</v>
      </c>
      <c r="D30" s="2" t="s">
        <v>9</v>
      </c>
      <c r="E30" s="10" t="str">
        <f>IFERROR(VLOOKUP(D30,'Thành Viên'!$A$7:$B$12,2,FALSE),"Kiểm tra mã TV")</f>
        <v>Khiếu Hữu Trung Kiên</v>
      </c>
      <c r="F30" s="2" t="s">
        <v>151</v>
      </c>
      <c r="G30" s="2" t="s">
        <v>152</v>
      </c>
      <c r="H30" s="2" t="s">
        <v>153</v>
      </c>
      <c r="I30" s="2" t="s">
        <v>154</v>
      </c>
      <c r="J30" s="2" t="s">
        <v>0</v>
      </c>
      <c r="K30" s="11"/>
      <c r="L30" s="3" t="s">
        <v>42</v>
      </c>
      <c r="M30" s="3"/>
      <c r="N30" s="3"/>
    </row>
    <row r="31" spans="1:14" ht="43.05" customHeight="1" x14ac:dyDescent="0.3">
      <c r="A31" s="4" t="s">
        <v>155</v>
      </c>
      <c r="B31" s="5">
        <v>3</v>
      </c>
      <c r="C31" s="5" t="s">
        <v>156</v>
      </c>
      <c r="D31" s="5" t="s">
        <v>0</v>
      </c>
      <c r="E31" s="6" t="str">
        <f>IFERROR(VLOOKUP(D31,'Thành Viên'!$A$7:$B$12,2,FALSE),"Kiểm tra mã TV")</f>
        <v>Phạm Thái Khang</v>
      </c>
      <c r="F31" s="5" t="s">
        <v>157</v>
      </c>
      <c r="G31" s="5" t="s">
        <v>158</v>
      </c>
      <c r="H31" s="5" t="s">
        <v>159</v>
      </c>
      <c r="I31" s="5" t="s">
        <v>160</v>
      </c>
      <c r="J31" s="5" t="s">
        <v>9</v>
      </c>
      <c r="K31" s="7"/>
      <c r="L31" s="8" t="s">
        <v>42</v>
      </c>
      <c r="M31" s="8"/>
      <c r="N31" s="8"/>
    </row>
    <row r="32" spans="1:14" ht="43.05" customHeight="1" x14ac:dyDescent="0.3">
      <c r="A32" s="9" t="s">
        <v>161</v>
      </c>
      <c r="B32" s="2">
        <v>3</v>
      </c>
      <c r="C32" s="2" t="s">
        <v>156</v>
      </c>
      <c r="D32" s="2" t="s">
        <v>10</v>
      </c>
      <c r="E32" s="10" t="str">
        <f>IFERROR(VLOOKUP(D32,'Thành Viên'!$A$7:$B$12,2,FALSE),"Kiểm tra mã TV")</f>
        <v>Châu Huỳnh Minh Ngọc</v>
      </c>
      <c r="F32" s="2" t="s">
        <v>162</v>
      </c>
      <c r="G32" s="2" t="s">
        <v>163</v>
      </c>
      <c r="H32" s="2" t="s">
        <v>164</v>
      </c>
      <c r="I32" s="2" t="s">
        <v>165</v>
      </c>
      <c r="J32" s="2" t="s">
        <v>13</v>
      </c>
      <c r="K32" s="11"/>
      <c r="L32" s="3" t="s">
        <v>42</v>
      </c>
      <c r="M32" s="3"/>
      <c r="N32" s="3"/>
    </row>
    <row r="33" spans="1:14" ht="52.05" customHeight="1" x14ac:dyDescent="0.3">
      <c r="A33" s="12" t="s">
        <v>166</v>
      </c>
      <c r="B33" s="1">
        <v>3</v>
      </c>
      <c r="C33" s="1" t="s">
        <v>156</v>
      </c>
      <c r="D33" s="1" t="s">
        <v>14</v>
      </c>
      <c r="E33" s="13" t="str">
        <f>IFERROR(VLOOKUP(D33,'Thành Viên'!$A$7:$B$12,2,FALSE),"Kiểm tra mã TV")</f>
        <v>Lê Đăng Khoa</v>
      </c>
      <c r="F33" s="1" t="s">
        <v>167</v>
      </c>
      <c r="G33" s="1" t="s">
        <v>168</v>
      </c>
      <c r="H33" s="1" t="s">
        <v>169</v>
      </c>
      <c r="I33" s="1" t="s">
        <v>170</v>
      </c>
      <c r="J33" s="1" t="s">
        <v>1</v>
      </c>
      <c r="K33" s="11"/>
      <c r="L33" s="3" t="s">
        <v>42</v>
      </c>
      <c r="M33" s="3"/>
      <c r="N33" s="3"/>
    </row>
    <row r="34" spans="1:14" ht="52.05" customHeight="1" x14ac:dyDescent="0.3">
      <c r="A34" s="9" t="s">
        <v>171</v>
      </c>
      <c r="B34" s="2">
        <v>3</v>
      </c>
      <c r="C34" s="2" t="s">
        <v>156</v>
      </c>
      <c r="D34" s="2" t="s">
        <v>1</v>
      </c>
      <c r="E34" s="10" t="str">
        <f>IFERROR(VLOOKUP(D34,'Thành Viên'!$A$7:$B$12,2,FALSE),"Kiểm tra mã TV")</f>
        <v>Huỳnh Tấn Nam</v>
      </c>
      <c r="F34" s="2" t="s">
        <v>172</v>
      </c>
      <c r="G34" s="2" t="s">
        <v>173</v>
      </c>
      <c r="H34" s="2" t="s">
        <v>174</v>
      </c>
      <c r="I34" s="2" t="s">
        <v>175</v>
      </c>
      <c r="J34" s="2" t="s">
        <v>14</v>
      </c>
      <c r="K34" s="11"/>
      <c r="L34" s="3" t="s">
        <v>42</v>
      </c>
      <c r="M34" s="3"/>
      <c r="N34" s="3"/>
    </row>
    <row r="35" spans="1:14" ht="52.05" customHeight="1" x14ac:dyDescent="0.3">
      <c r="A35" s="12" t="s">
        <v>176</v>
      </c>
      <c r="B35" s="1">
        <v>3</v>
      </c>
      <c r="C35" s="1" t="s">
        <v>156</v>
      </c>
      <c r="D35" s="1" t="s">
        <v>13</v>
      </c>
      <c r="E35" s="13" t="str">
        <f>IFERROR(VLOOKUP(D35,'Thành Viên'!$A$7:$B$12,2,FALSE),"Kiểm tra mã TV")</f>
        <v>Phạm Nguyễn Quốc Khánh</v>
      </c>
      <c r="F35" s="1" t="s">
        <v>177</v>
      </c>
      <c r="G35" s="1" t="s">
        <v>178</v>
      </c>
      <c r="H35" s="1" t="s">
        <v>179</v>
      </c>
      <c r="I35" s="1" t="s">
        <v>180</v>
      </c>
      <c r="J35" s="1" t="s">
        <v>10</v>
      </c>
      <c r="K35" s="11"/>
      <c r="L35" s="3" t="s">
        <v>42</v>
      </c>
      <c r="M35" s="3"/>
      <c r="N35" s="3"/>
    </row>
    <row r="36" spans="1:14" ht="52.05" customHeight="1" x14ac:dyDescent="0.3">
      <c r="A36" s="9" t="s">
        <v>181</v>
      </c>
      <c r="B36" s="2">
        <v>3</v>
      </c>
      <c r="C36" s="2" t="s">
        <v>156</v>
      </c>
      <c r="D36" s="2" t="s">
        <v>9</v>
      </c>
      <c r="E36" s="10" t="str">
        <f>IFERROR(VLOOKUP(D36,'Thành Viên'!$A$7:$B$12,2,FALSE),"Kiểm tra mã TV")</f>
        <v>Khiếu Hữu Trung Kiên</v>
      </c>
      <c r="F36" s="2" t="s">
        <v>182</v>
      </c>
      <c r="G36" s="2" t="s">
        <v>183</v>
      </c>
      <c r="H36" s="2" t="s">
        <v>184</v>
      </c>
      <c r="I36" s="2" t="s">
        <v>185</v>
      </c>
      <c r="J36" s="2" t="s">
        <v>0</v>
      </c>
      <c r="K36" s="11"/>
      <c r="L36" s="3" t="s">
        <v>42</v>
      </c>
      <c r="M36" s="3"/>
      <c r="N36" s="3"/>
    </row>
    <row r="37" spans="1:14" ht="52.05" customHeight="1" x14ac:dyDescent="0.3">
      <c r="A37" s="4" t="s">
        <v>186</v>
      </c>
      <c r="B37" s="5">
        <v>3</v>
      </c>
      <c r="C37" s="5" t="s">
        <v>187</v>
      </c>
      <c r="D37" s="5" t="s">
        <v>0</v>
      </c>
      <c r="E37" s="6" t="str">
        <f>IFERROR(VLOOKUP(D37,'Thành Viên'!$A$7:$B$12,2,FALSE),"Kiểm tra mã TV")</f>
        <v>Phạm Thái Khang</v>
      </c>
      <c r="F37" s="5" t="s">
        <v>188</v>
      </c>
      <c r="G37" s="5" t="s">
        <v>189</v>
      </c>
      <c r="H37" s="5" t="s">
        <v>190</v>
      </c>
      <c r="I37" s="5" t="s">
        <v>191</v>
      </c>
      <c r="J37" s="5" t="s">
        <v>9</v>
      </c>
      <c r="K37" s="7"/>
      <c r="L37" s="8" t="s">
        <v>42</v>
      </c>
      <c r="M37" s="8"/>
      <c r="N37" s="8"/>
    </row>
    <row r="38" spans="1:14" ht="43.05" customHeight="1" x14ac:dyDescent="0.3">
      <c r="A38" s="9" t="s">
        <v>192</v>
      </c>
      <c r="B38" s="2">
        <v>3</v>
      </c>
      <c r="C38" s="2" t="s">
        <v>187</v>
      </c>
      <c r="D38" s="2" t="s">
        <v>10</v>
      </c>
      <c r="E38" s="10" t="str">
        <f>IFERROR(VLOOKUP(D38,'Thành Viên'!$A$7:$B$12,2,FALSE),"Kiểm tra mã TV")</f>
        <v>Châu Huỳnh Minh Ngọc</v>
      </c>
      <c r="F38" s="2" t="s">
        <v>193</v>
      </c>
      <c r="G38" s="2" t="s">
        <v>194</v>
      </c>
      <c r="H38" s="2" t="s">
        <v>195</v>
      </c>
      <c r="I38" s="2" t="s">
        <v>196</v>
      </c>
      <c r="J38" s="2" t="s">
        <v>13</v>
      </c>
      <c r="K38" s="11"/>
      <c r="L38" s="3" t="s">
        <v>42</v>
      </c>
      <c r="M38" s="3"/>
      <c r="N38" s="3"/>
    </row>
    <row r="39" spans="1:14" ht="43.05" customHeight="1" x14ac:dyDescent="0.3">
      <c r="A39" s="12" t="s">
        <v>197</v>
      </c>
      <c r="B39" s="1">
        <v>3</v>
      </c>
      <c r="C39" s="1" t="s">
        <v>187</v>
      </c>
      <c r="D39" s="1" t="s">
        <v>14</v>
      </c>
      <c r="E39" s="13" t="str">
        <f>IFERROR(VLOOKUP(D39,'Thành Viên'!$A$7:$B$12,2,FALSE),"Kiểm tra mã TV")</f>
        <v>Lê Đăng Khoa</v>
      </c>
      <c r="F39" s="1" t="s">
        <v>198</v>
      </c>
      <c r="G39" s="1" t="s">
        <v>199</v>
      </c>
      <c r="H39" s="1" t="s">
        <v>200</v>
      </c>
      <c r="I39" s="1" t="s">
        <v>201</v>
      </c>
      <c r="J39" s="1" t="s">
        <v>1</v>
      </c>
      <c r="K39" s="11"/>
      <c r="L39" s="3" t="s">
        <v>42</v>
      </c>
      <c r="M39" s="3"/>
      <c r="N39" s="3"/>
    </row>
    <row r="40" spans="1:14" ht="43.05" customHeight="1" x14ac:dyDescent="0.3">
      <c r="A40" s="9" t="s">
        <v>202</v>
      </c>
      <c r="B40" s="2">
        <v>3</v>
      </c>
      <c r="C40" s="2" t="s">
        <v>187</v>
      </c>
      <c r="D40" s="2" t="s">
        <v>1</v>
      </c>
      <c r="E40" s="10" t="str">
        <f>IFERROR(VLOOKUP(D40,'Thành Viên'!$A$7:$B$12,2,FALSE),"Kiểm tra mã TV")</f>
        <v>Huỳnh Tấn Nam</v>
      </c>
      <c r="F40" s="2" t="s">
        <v>203</v>
      </c>
      <c r="G40" s="2" t="s">
        <v>204</v>
      </c>
      <c r="H40" s="2" t="s">
        <v>205</v>
      </c>
      <c r="I40" s="2" t="s">
        <v>206</v>
      </c>
      <c r="J40" s="2" t="s">
        <v>14</v>
      </c>
      <c r="K40" s="11"/>
      <c r="L40" s="3" t="s">
        <v>42</v>
      </c>
      <c r="M40" s="3"/>
      <c r="N40" s="3"/>
    </row>
    <row r="41" spans="1:14" ht="43.05" customHeight="1" x14ac:dyDescent="0.3">
      <c r="A41" s="12" t="s">
        <v>207</v>
      </c>
      <c r="B41" s="1">
        <v>3</v>
      </c>
      <c r="C41" s="1" t="s">
        <v>187</v>
      </c>
      <c r="D41" s="1" t="s">
        <v>13</v>
      </c>
      <c r="E41" s="13" t="str">
        <f>IFERROR(VLOOKUP(D41,'Thành Viên'!$A$7:$B$12,2,FALSE),"Kiểm tra mã TV")</f>
        <v>Phạm Nguyễn Quốc Khánh</v>
      </c>
      <c r="F41" s="1" t="s">
        <v>208</v>
      </c>
      <c r="G41" s="1" t="s">
        <v>209</v>
      </c>
      <c r="H41" s="1" t="s">
        <v>210</v>
      </c>
      <c r="I41" s="1" t="s">
        <v>211</v>
      </c>
      <c r="J41" s="1" t="s">
        <v>10</v>
      </c>
      <c r="K41" s="11"/>
      <c r="L41" s="3" t="s">
        <v>42</v>
      </c>
      <c r="M41" s="3"/>
      <c r="N41" s="3"/>
    </row>
    <row r="42" spans="1:14" ht="52.05" customHeight="1" x14ac:dyDescent="0.3">
      <c r="A42" s="9" t="s">
        <v>212</v>
      </c>
      <c r="B42" s="2">
        <v>3</v>
      </c>
      <c r="C42" s="2" t="s">
        <v>187</v>
      </c>
      <c r="D42" s="2" t="s">
        <v>9</v>
      </c>
      <c r="E42" s="10" t="str">
        <f>IFERROR(VLOOKUP(D42,'Thành Viên'!$A$7:$B$12,2,FALSE),"Kiểm tra mã TV")</f>
        <v>Khiếu Hữu Trung Kiên</v>
      </c>
      <c r="F42" s="2" t="s">
        <v>213</v>
      </c>
      <c r="G42" s="2" t="s">
        <v>214</v>
      </c>
      <c r="H42" s="2" t="s">
        <v>215</v>
      </c>
      <c r="I42" s="2" t="s">
        <v>216</v>
      </c>
      <c r="J42" s="2" t="s">
        <v>0</v>
      </c>
      <c r="K42" s="11"/>
      <c r="L42" s="3" t="s">
        <v>42</v>
      </c>
      <c r="M42" s="3"/>
      <c r="N42" s="3"/>
    </row>
    <row r="43" spans="1:14" ht="52.05" customHeight="1" x14ac:dyDescent="0.3">
      <c r="A43" s="4" t="s">
        <v>217</v>
      </c>
      <c r="B43" s="5">
        <v>4</v>
      </c>
      <c r="C43" s="5" t="s">
        <v>218</v>
      </c>
      <c r="D43" s="5" t="s">
        <v>0</v>
      </c>
      <c r="E43" s="6" t="str">
        <f>IFERROR(VLOOKUP(D43,'Thành Viên'!$A$7:$B$12,2,FALSE),"Kiểm tra mã TV")</f>
        <v>Phạm Thái Khang</v>
      </c>
      <c r="F43" s="5" t="s">
        <v>219</v>
      </c>
      <c r="G43" s="5" t="s">
        <v>220</v>
      </c>
      <c r="H43" s="5" t="s">
        <v>221</v>
      </c>
      <c r="I43" s="5" t="s">
        <v>222</v>
      </c>
      <c r="J43" s="5" t="s">
        <v>9</v>
      </c>
      <c r="K43" s="7"/>
      <c r="L43" s="8" t="s">
        <v>42</v>
      </c>
      <c r="M43" s="8"/>
      <c r="N43" s="8"/>
    </row>
    <row r="44" spans="1:14" ht="43.05" customHeight="1" x14ac:dyDescent="0.3">
      <c r="A44" s="9" t="s">
        <v>223</v>
      </c>
      <c r="B44" s="2">
        <v>4</v>
      </c>
      <c r="C44" s="2" t="s">
        <v>218</v>
      </c>
      <c r="D44" s="2" t="s">
        <v>10</v>
      </c>
      <c r="E44" s="10" t="str">
        <f>IFERROR(VLOOKUP(D44,'Thành Viên'!$A$7:$B$12,2,FALSE),"Kiểm tra mã TV")</f>
        <v>Châu Huỳnh Minh Ngọc</v>
      </c>
      <c r="F44" s="2" t="s">
        <v>224</v>
      </c>
      <c r="G44" s="2" t="s">
        <v>225</v>
      </c>
      <c r="H44" s="2" t="s">
        <v>226</v>
      </c>
      <c r="I44" s="2" t="s">
        <v>192</v>
      </c>
      <c r="J44" s="2" t="s">
        <v>13</v>
      </c>
      <c r="K44" s="11"/>
      <c r="L44" s="3" t="s">
        <v>42</v>
      </c>
      <c r="M44" s="3"/>
      <c r="N44" s="3"/>
    </row>
    <row r="45" spans="1:14" ht="43.05" customHeight="1" x14ac:dyDescent="0.3">
      <c r="A45" s="12" t="s">
        <v>227</v>
      </c>
      <c r="B45" s="1">
        <v>4</v>
      </c>
      <c r="C45" s="1" t="s">
        <v>218</v>
      </c>
      <c r="D45" s="1" t="s">
        <v>14</v>
      </c>
      <c r="E45" s="13" t="str">
        <f>IFERROR(VLOOKUP(D45,'Thành Viên'!$A$7:$B$12,2,FALSE),"Kiểm tra mã TV")</f>
        <v>Lê Đăng Khoa</v>
      </c>
      <c r="F45" s="1" t="s">
        <v>228</v>
      </c>
      <c r="G45" s="1" t="s">
        <v>229</v>
      </c>
      <c r="H45" s="1" t="s">
        <v>230</v>
      </c>
      <c r="I45" s="1" t="s">
        <v>197</v>
      </c>
      <c r="J45" s="1" t="s">
        <v>1</v>
      </c>
      <c r="K45" s="11"/>
      <c r="L45" s="3" t="s">
        <v>42</v>
      </c>
      <c r="M45" s="3"/>
      <c r="N45" s="3"/>
    </row>
    <row r="46" spans="1:14" ht="43.05" customHeight="1" x14ac:dyDescent="0.3">
      <c r="A46" s="9" t="s">
        <v>231</v>
      </c>
      <c r="B46" s="2">
        <v>4</v>
      </c>
      <c r="C46" s="2" t="s">
        <v>218</v>
      </c>
      <c r="D46" s="2" t="s">
        <v>1</v>
      </c>
      <c r="E46" s="10" t="str">
        <f>IFERROR(VLOOKUP(D46,'Thành Viên'!$A$7:$B$12,2,FALSE),"Kiểm tra mã TV")</f>
        <v>Huỳnh Tấn Nam</v>
      </c>
      <c r="F46" s="2" t="s">
        <v>232</v>
      </c>
      <c r="G46" s="2" t="s">
        <v>233</v>
      </c>
      <c r="H46" s="2" t="s">
        <v>234</v>
      </c>
      <c r="I46" s="2" t="s">
        <v>202</v>
      </c>
      <c r="J46" s="2" t="s">
        <v>14</v>
      </c>
      <c r="K46" s="11"/>
      <c r="L46" s="3" t="s">
        <v>42</v>
      </c>
      <c r="M46" s="3"/>
      <c r="N46" s="3"/>
    </row>
    <row r="47" spans="1:14" ht="43.05" customHeight="1" x14ac:dyDescent="0.3">
      <c r="A47" s="12" t="s">
        <v>235</v>
      </c>
      <c r="B47" s="1">
        <v>4</v>
      </c>
      <c r="C47" s="1" t="s">
        <v>218</v>
      </c>
      <c r="D47" s="1" t="s">
        <v>13</v>
      </c>
      <c r="E47" s="13" t="str">
        <f>IFERROR(VLOOKUP(D47,'Thành Viên'!$A$7:$B$12,2,FALSE),"Kiểm tra mã TV")</f>
        <v>Phạm Nguyễn Quốc Khánh</v>
      </c>
      <c r="F47" s="1" t="s">
        <v>236</v>
      </c>
      <c r="G47" s="1" t="s">
        <v>237</v>
      </c>
      <c r="H47" s="1" t="s">
        <v>238</v>
      </c>
      <c r="I47" s="1" t="s">
        <v>207</v>
      </c>
      <c r="J47" s="1" t="s">
        <v>10</v>
      </c>
      <c r="K47" s="11"/>
      <c r="L47" s="3" t="s">
        <v>42</v>
      </c>
      <c r="M47" s="3"/>
      <c r="N47" s="3"/>
    </row>
    <row r="48" spans="1:14" ht="43.05" customHeight="1" x14ac:dyDescent="0.3">
      <c r="A48" s="9" t="s">
        <v>239</v>
      </c>
      <c r="B48" s="2">
        <v>4</v>
      </c>
      <c r="C48" s="2" t="s">
        <v>218</v>
      </c>
      <c r="D48" s="2" t="s">
        <v>9</v>
      </c>
      <c r="E48" s="10" t="str">
        <f>IFERROR(VLOOKUP(D48,'Thành Viên'!$A$7:$B$12,2,FALSE),"Kiểm tra mã TV")</f>
        <v>Khiếu Hữu Trung Kiên</v>
      </c>
      <c r="F48" s="2" t="s">
        <v>240</v>
      </c>
      <c r="G48" s="2" t="s">
        <v>241</v>
      </c>
      <c r="H48" s="2" t="s">
        <v>242</v>
      </c>
      <c r="I48" s="2" t="s">
        <v>243</v>
      </c>
      <c r="J48" s="2" t="s">
        <v>0</v>
      </c>
      <c r="K48" s="11"/>
      <c r="L48" s="3" t="s">
        <v>42</v>
      </c>
      <c r="M48" s="3"/>
      <c r="N48" s="3"/>
    </row>
    <row r="49" spans="1:14" ht="52.05" customHeight="1" x14ac:dyDescent="0.3">
      <c r="A49" s="4" t="s">
        <v>244</v>
      </c>
      <c r="B49" s="5">
        <v>4</v>
      </c>
      <c r="C49" s="5" t="s">
        <v>245</v>
      </c>
      <c r="D49" s="5" t="s">
        <v>0</v>
      </c>
      <c r="E49" s="6" t="str">
        <f>IFERROR(VLOOKUP(D49,'Thành Viên'!$A$7:$B$12,2,FALSE),"Kiểm tra mã TV")</f>
        <v>Phạm Thái Khang</v>
      </c>
      <c r="F49" s="5" t="s">
        <v>246</v>
      </c>
      <c r="G49" s="5" t="s">
        <v>247</v>
      </c>
      <c r="H49" s="5" t="s">
        <v>248</v>
      </c>
      <c r="I49" s="5" t="s">
        <v>249</v>
      </c>
      <c r="J49" s="5" t="s">
        <v>9</v>
      </c>
      <c r="K49" s="7"/>
      <c r="L49" s="8" t="s">
        <v>42</v>
      </c>
      <c r="M49" s="8"/>
      <c r="N49" s="8"/>
    </row>
    <row r="50" spans="1:14" ht="52.05" customHeight="1" x14ac:dyDescent="0.3">
      <c r="A50" s="9" t="s">
        <v>250</v>
      </c>
      <c r="B50" s="2">
        <v>4</v>
      </c>
      <c r="C50" s="2" t="s">
        <v>245</v>
      </c>
      <c r="D50" s="2" t="s">
        <v>10</v>
      </c>
      <c r="E50" s="10" t="str">
        <f>IFERROR(VLOOKUP(D50,'Thành Viên'!$A$7:$B$12,2,FALSE),"Kiểm tra mã TV")</f>
        <v>Châu Huỳnh Minh Ngọc</v>
      </c>
      <c r="F50" s="2" t="s">
        <v>251</v>
      </c>
      <c r="G50" s="2" t="s">
        <v>252</v>
      </c>
      <c r="H50" s="2" t="s">
        <v>253</v>
      </c>
      <c r="I50" s="2" t="s">
        <v>254</v>
      </c>
      <c r="J50" s="2" t="s">
        <v>13</v>
      </c>
      <c r="K50" s="11"/>
      <c r="L50" s="3" t="s">
        <v>42</v>
      </c>
      <c r="M50" s="3"/>
      <c r="N50" s="3"/>
    </row>
    <row r="51" spans="1:14" ht="52.05" customHeight="1" x14ac:dyDescent="0.3">
      <c r="A51" s="12" t="s">
        <v>255</v>
      </c>
      <c r="B51" s="1">
        <v>4</v>
      </c>
      <c r="C51" s="1" t="s">
        <v>245</v>
      </c>
      <c r="D51" s="1" t="s">
        <v>14</v>
      </c>
      <c r="E51" s="13" t="str">
        <f>IFERROR(VLOOKUP(D51,'Thành Viên'!$A$7:$B$12,2,FALSE),"Kiểm tra mã TV")</f>
        <v>Lê Đăng Khoa</v>
      </c>
      <c r="F51" s="1" t="s">
        <v>256</v>
      </c>
      <c r="G51" s="1" t="s">
        <v>257</v>
      </c>
      <c r="H51" s="1" t="s">
        <v>258</v>
      </c>
      <c r="I51" s="1" t="s">
        <v>259</v>
      </c>
      <c r="J51" s="1" t="s">
        <v>1</v>
      </c>
      <c r="K51" s="11"/>
      <c r="L51" s="3" t="s">
        <v>42</v>
      </c>
      <c r="M51" s="3"/>
      <c r="N51" s="3"/>
    </row>
    <row r="52" spans="1:14" ht="52.05" customHeight="1" x14ac:dyDescent="0.3">
      <c r="A52" s="9" t="s">
        <v>260</v>
      </c>
      <c r="B52" s="2">
        <v>4</v>
      </c>
      <c r="C52" s="2" t="s">
        <v>245</v>
      </c>
      <c r="D52" s="2" t="s">
        <v>1</v>
      </c>
      <c r="E52" s="10" t="str">
        <f>IFERROR(VLOOKUP(D52,'Thành Viên'!$A$7:$B$12,2,FALSE),"Kiểm tra mã TV")</f>
        <v>Huỳnh Tấn Nam</v>
      </c>
      <c r="F52" s="2" t="s">
        <v>261</v>
      </c>
      <c r="G52" s="2" t="s">
        <v>262</v>
      </c>
      <c r="H52" s="2" t="s">
        <v>263</v>
      </c>
      <c r="I52" s="2" t="s">
        <v>264</v>
      </c>
      <c r="J52" s="2" t="s">
        <v>14</v>
      </c>
      <c r="K52" s="11"/>
      <c r="L52" s="3" t="s">
        <v>42</v>
      </c>
      <c r="M52" s="3"/>
      <c r="N52" s="3"/>
    </row>
    <row r="53" spans="1:14" ht="52.05" customHeight="1" x14ac:dyDescent="0.3">
      <c r="A53" s="12" t="s">
        <v>265</v>
      </c>
      <c r="B53" s="1">
        <v>4</v>
      </c>
      <c r="C53" s="1" t="s">
        <v>245</v>
      </c>
      <c r="D53" s="1" t="s">
        <v>13</v>
      </c>
      <c r="E53" s="13" t="str">
        <f>IFERROR(VLOOKUP(D53,'Thành Viên'!$A$7:$B$12,2,FALSE),"Kiểm tra mã TV")</f>
        <v>Phạm Nguyễn Quốc Khánh</v>
      </c>
      <c r="F53" s="1" t="s">
        <v>266</v>
      </c>
      <c r="G53" s="1" t="s">
        <v>267</v>
      </c>
      <c r="H53" s="1" t="s">
        <v>268</v>
      </c>
      <c r="I53" s="1" t="s">
        <v>269</v>
      </c>
      <c r="J53" s="1" t="s">
        <v>10</v>
      </c>
      <c r="K53" s="11"/>
      <c r="L53" s="3" t="s">
        <v>42</v>
      </c>
      <c r="M53" s="3"/>
      <c r="N53" s="3"/>
    </row>
    <row r="54" spans="1:14" ht="52.05" customHeight="1" x14ac:dyDescent="0.3">
      <c r="A54" s="9" t="s">
        <v>270</v>
      </c>
      <c r="B54" s="2">
        <v>4</v>
      </c>
      <c r="C54" s="2" t="s">
        <v>245</v>
      </c>
      <c r="D54" s="2" t="s">
        <v>9</v>
      </c>
      <c r="E54" s="10" t="str">
        <f>IFERROR(VLOOKUP(D54,'Thành Viên'!$A$7:$B$12,2,FALSE),"Kiểm tra mã TV")</f>
        <v>Khiếu Hữu Trung Kiên</v>
      </c>
      <c r="F54" s="2" t="s">
        <v>271</v>
      </c>
      <c r="G54" s="2" t="s">
        <v>272</v>
      </c>
      <c r="H54" s="2" t="s">
        <v>273</v>
      </c>
      <c r="I54" s="2" t="s">
        <v>274</v>
      </c>
      <c r="J54" s="2" t="s">
        <v>0</v>
      </c>
      <c r="K54" s="11"/>
      <c r="L54" s="3" t="s">
        <v>42</v>
      </c>
      <c r="M54" s="3"/>
      <c r="N54" s="3"/>
    </row>
  </sheetData>
  <autoFilter ref="A6:N54" xr:uid="{00000000-0009-0000-0000-000002000000}"/>
  <mergeCells count="2">
    <mergeCell ref="A3:N4"/>
    <mergeCell ref="A1:N2"/>
  </mergeCells>
  <conditionalFormatting sqref="L7:L54">
    <cfRule type="expression" dxfId="3" priority="1">
      <formula>L7="Hoàn tất"</formula>
    </cfRule>
    <cfRule type="expression" dxfId="2" priority="2">
      <formula>L7="Bị chặn"</formula>
    </cfRule>
    <cfRule type="expression" dxfId="1" priority="3">
      <formula>L7="Cần sửa"</formula>
    </cfRule>
    <cfRule type="expression" dxfId="0" priority="4">
      <formula>L7="Chờ kiểm tra"</formula>
    </cfRule>
  </conditionalFormatting>
  <dataValidations count="1">
    <dataValidation type="list" allowBlank="1" showErrorMessage="1" errorTitle="Chọn giá trị trong danh sách" error="Vui lòng dùng danh sách lựa chọn." sqref="L7:L54" xr:uid="{00000000-0002-0000-0200-000000000000}">
      <formula1>"Chưa bắt đầu,Đang làm,Chờ kiểm tra,Cần sửa,Hoàn tất,Bị chặn"</formula1>
    </dataValidation>
  </dataValidations>
  <pageMargins left="0.75" right="0.75" top="1" bottom="1" header="0.5" footer="0.5"/>
  <pageSetup paperSize="8" fitToHeight="0" orientation="landscape"/>
  <headerFooter>
    <oddFooter>&amp;C&amp;9 UDM_10 | Khung 4 tuan | Trang &amp;P /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Thành Viên</vt:lpstr>
      <vt:lpstr>Cong_viec</vt:lpstr>
      <vt:lpstr>Cong_viec!Print_Area</vt:lpstr>
      <vt:lpstr>'Thành Viên'!Print_Area</vt:lpstr>
      <vt:lpstr>Cong_viec!Print_Titles</vt:lpstr>
      <vt:lpstr>'Thành Viên'!Print_Titles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Thái Khang</cp:lastModifiedBy>
  <dcterms:created xsi:type="dcterms:W3CDTF">2026-10-23T13:10:01Z</dcterms:created>
  <dcterms:modified xsi:type="dcterms:W3CDTF">2026-10-29T08:15:21Z</dcterms:modified>
</cp:coreProperties>
</file>